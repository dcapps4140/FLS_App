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activeX/activeX4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activeX/activeX7.xml" ContentType="application/vnd.ms-office.activeX+xml"/>
  <Override PartName="/xl/activeX/activeX6.bin" ContentType="application/vnd.ms-office.activeX"/>
  <Override PartName="/xl/activeX/activeX8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6A53FE06-B643-4267-9744-14792C3161FE}" xr6:coauthVersionLast="47" xr6:coauthVersionMax="47" xr10:uidLastSave="{00000000-0000-0000-0000-000000000000}"/>
  <bookViews>
    <workbookView xWindow="28680" yWindow="-120" windowWidth="20730" windowHeight="11160" tabRatio="738" firstSheet="3" activeTab="7" xr2:uid="{32A3E539-A096-4DDE-A2C0-E3EA2D40C676}"/>
  </bookViews>
  <sheets>
    <sheet name="Database" sheetId="1" state="hidden" r:id="rId1"/>
    <sheet name="Sheet1" sheetId="12" state="hidden" r:id="rId2"/>
    <sheet name="DB Maint" sheetId="11" state="hidden" r:id="rId3"/>
    <sheet name="Index_QkPrnt" sheetId="2" r:id="rId4"/>
    <sheet name="TECHupd" sheetId="10" r:id="rId5"/>
    <sheet name="VIEW Record" sheetId="6" r:id="rId6"/>
    <sheet name="ADD Record" sheetId="8" r:id="rId7"/>
    <sheet name="MODIFY" sheetId="5" r:id="rId8"/>
    <sheet name="LISTS" sheetId="7" state="hidden" r:id="rId9"/>
  </sheets>
  <functionGroups builtInGroupCount="19"/>
  <definedNames>
    <definedName name="MyRange">MODIFY!$L$14:$N$16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<sst xmlns="http://schemas.openxmlformats.org/spreadsheetml/2006/main" count="14131" uniqueCount="3367">
  <si>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</si>
  <si>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</si>
  <si>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</si>
  <si>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</si>
  <si>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</si>
  <si>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</si>
  <si>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</si>
  <si>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</si>
  <si>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</si>
  <si>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</si>
  <si>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</si>
  <si>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</si>
  <si>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</si>
  <si>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</si>
  <si>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</si>
  <si>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</si>
  <si>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</si>
  <si>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</si>
  <si>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</si>
  <si>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</si>
  <si>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</si>
  <si>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</si>
  <si>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</si>
  <si>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</si>
  <si>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</si>
  <si>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</si>
  <si>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</si>
  <si>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</si>
  <si>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</si>
  <si>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</si>
  <si>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</si>
  <si>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</si>
  <si>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</si>
  <si>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</si>
  <si>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</si>
  <si>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</si>
  <si>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</si>
  <si>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</si>
  <si>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</si>
  <si>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</si>
  <si>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</si>
  <si>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</si>
  <si>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</si>
  <si>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</si>
  <si>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</si>
  <si>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</si>
  <si>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</si>
  <si>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</si>
  <si>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</si>
  <si>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</si>
  <si>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</si>
  <si>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</si>
  <si>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</si>
  <si>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</si>
  <si>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</si>
  <si>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</si>
  <si>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</si>
  <si>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</si>
  <si>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</si>
  <si>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</si>
  <si>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</si>
  <si>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</si>
  <si>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</si>
  <si>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</si>
  <si>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</si>
  <si>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</si>
  <si>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</si>
  <si>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</si>
  <si>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</si>
  <si>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</si>
  <si>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</si>
  <si>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</si>
  <si>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</si>
  <si>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</si>
  <si>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</si>
  <si>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</si>
  <si>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</si>
  <si>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</si>
  <si>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</si>
  <si>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</si>
  <si>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</si>
  <si>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</si>
  <si>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</si>
  <si>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</si>
  <si>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</si>
  <si>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</si>
  <si>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</si>
  <si>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</si>
  <si>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</si>
  <si>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</si>
  <si>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</si>
  <si>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</si>
  <si>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</si>
  <si>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</si>
  <si>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</si>
  <si>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</si>
  <si>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</si>
  <si>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</si>
  <si>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</si>
  <si>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</si>
  <si>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</si>
  <si>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</si>
  <si>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</si>
  <si>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</si>
  <si>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</si>
  <si>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</si>
  <si>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</si>
  <si>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</si>
  <si>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</si>
  <si>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</si>
  <si>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</si>
  <si>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</si>
  <si>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</si>
  <si>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</si>
  <si>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</si>
  <si>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</si>
  <si>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</si>
  <si>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</si>
  <si>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</si>
  <si>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</si>
  <si>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</si>
  <si>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</si>
  <si>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</si>
  <si>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</si>
  <si>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</si>
  <si>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</si>
  <si>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</si>
  <si>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</si>
  <si>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</si>
  <si>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</si>
  <si>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</si>
  <si>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</si>
  <si>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</si>
  <si>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</si>
  <si>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</si>
  <si>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</si>
  <si>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</si>
  <si>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</si>
  <si>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</si>
  <si>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</si>
  <si>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</si>
  <si>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</si>
  <si>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</si>
  <si>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</si>
  <si>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</si>
  <si>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</si>
  <si>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</si>
  <si>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</si>
  <si>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</si>
  <si>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</si>
  <si>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</si>
  <si>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</si>
  <si>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</si>
  <si>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</si>
  <si>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</si>
  <si>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</si>
  <si>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</si>
  <si>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</si>
  <si>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</si>
  <si>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</si>
  <si>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</si>
  <si>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</si>
  <si>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</si>
  <si>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</si>
  <si>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</si>
  <si>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</si>
  <si>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</si>
  <si>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</si>
  <si>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</si>
  <si>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</si>
  <si>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</si>
  <si>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</si>
  <si>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</si>
  <si>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</si>
  <si>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</si>
  <si>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</si>
  <si>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</si>
  <si>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</si>
  <si>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</si>
  <si>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</si>
  <si>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</si>
  <si>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</si>
  <si>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</si>
  <si>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</si>
  <si>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</si>
  <si>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</si>
  <si>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</si>
  <si>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</si>
  <si>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</si>
  <si>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</si>
  <si>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</si>
  <si>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</si>
  <si>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</si>
  <si>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</si>
  <si>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</si>
  <si>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</si>
  <si>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</si>
  <si>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</si>
  <si>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</si>
  <si>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</si>
  <si>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</si>
  <si>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</si>
  <si>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</si>
  <si>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</si>
  <si>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</si>
  <si>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</si>
  <si>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</si>
  <si>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</si>
  <si>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</si>
  <si>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</si>
  <si>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</si>
  <si>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</si>
  <si>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</si>
  <si>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</si>
  <si>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</si>
  <si>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</si>
  <si>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</si>
  <si>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</si>
  <si>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</si>
  <si>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</si>
  <si>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</si>
  <si>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</si>
  <si>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</si>
  <si>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</si>
  <si>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</si>
  <si>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</si>
  <si>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</si>
  <si>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</si>
  <si>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</si>
  <si>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</si>
  <si>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</si>
  <si>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</si>
  <si>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</si>
  <si>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</si>
  <si>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</si>
  <si>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</si>
  <si>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</si>
  <si>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</si>
  <si>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</si>
  <si>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</si>
  <si>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</si>
  <si>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</si>
  <si>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</si>
  <si>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</si>
  <si>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</si>
  <si>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</si>
  <si>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</si>
  <si>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</si>
  <si>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</si>
  <si>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</si>
  <si>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</si>
  <si>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</si>
  <si>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</si>
  <si>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</si>
  <si>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</si>
  <si>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</si>
  <si>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</si>
  <si>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</si>
  <si>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</si>
  <si>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</si>
  <si>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</si>
  <si>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</si>
  <si>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</si>
  <si>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</si>
  <si>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</si>
  <si>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</si>
  <si>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</si>
  <si>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</si>
  <si>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</si>
  <si>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</si>
  <si>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</si>
  <si>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</si>
  <si>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</si>
  <si>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</si>
  <si>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</si>
  <si>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</si>
  <si>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</si>
  <si>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</si>
  <si>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</si>
  <si>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</si>
  <si>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</si>
  <si>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</si>
  <si>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</si>
  <si>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</si>
  <si>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</si>
  <si>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</si>
  <si>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</si>
  <si>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</si>
  <si>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</si>
  <si>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</si>
  <si>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</si>
  <si>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</si>
  <si>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</si>
  <si>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</si>
  <si>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</si>
  <si>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</si>
  <si>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</si>
  <si>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</si>
  <si>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</si>
  <si>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</si>
  <si>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</si>
  <si>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</si>
  <si>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</si>
  <si>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</si>
  <si>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</si>
  <si>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</si>
  <si>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</si>
  <si>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</si>
  <si>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</si>
  <si>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</si>
  <si>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</si>
  <si>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</si>
  <si>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</si>
  <si>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</si>
  <si>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</si>
  <si>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</si>
  <si>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</si>
  <si>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</si>
  <si>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</si>
  <si>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</si>
  <si>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</si>
  <si>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</si>
  <si>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</si>
  <si>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</si>
  <si>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</si>
  <si>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</si>
  <si>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</si>
  <si>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</si>
  <si>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</si>
  <si>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</si>
  <si>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</si>
  <si>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</si>
  <si>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</si>
  <si>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</si>
  <si>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</si>
  <si>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</si>
  <si>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</si>
  <si>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</si>
  <si>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</si>
  <si>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</si>
  <si>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</si>
  <si>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</si>
  <si>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</si>
  <si>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</si>
  <si>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</si>
  <si>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</si>
  <si>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</si>
  <si>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</si>
  <si>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</si>
  <si>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</si>
  <si>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</si>
  <si>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</si>
  <si>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</si>
  <si>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</si>
  <si>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</si>
  <si>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</si>
  <si>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</si>
  <si>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</si>
  <si>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</si>
  <si>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</si>
  <si>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</si>
  <si>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</si>
  <si>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</si>
  <si>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</si>
  <si>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</si>
  <si>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</si>
  <si>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</si>
  <si>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</si>
  <si>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</si>
  <si>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</si>
  <si>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</si>
  <si>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</si>
  <si>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</si>
  <si>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</si>
  <si>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</si>
  <si>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</si>
  <si>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</si>
  <si>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</si>
  <si>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</si>
  <si>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</si>
  <si>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</si>
  <si>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</si>
  <si>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</si>
  <si>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</si>
  <si>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</si>
  <si>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</si>
  <si>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</si>
  <si>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</si>
  <si>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</si>
  <si>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</si>
  <si>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</si>
  <si>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</si>
  <si>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</si>
  <si>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</si>
  <si>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</si>
  <si>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</si>
  <si>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</si>
  <si>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</si>
  <si>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</si>
  <si>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</si>
  <si>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</si>
  <si>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</si>
  <si>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</si>
  <si>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</si>
  <si>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</si>
  <si>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</si>
  <si>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</si>
  <si>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</si>
  <si>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</si>
  <si>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</si>
  <si>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</si>
  <si>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</si>
  <si>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</si>
  <si>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</si>
  <si>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</si>
  <si>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</si>
  <si>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</si>
  <si>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</si>
  <si>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</si>
  <si>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</si>
  <si>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</si>
  <si>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</si>
  <si>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</si>
  <si>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</si>
  <si>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</si>
  <si>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</si>
  <si>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</si>
  <si>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</si>
  <si>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</si>
  <si>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</si>
  <si>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</si>
  <si>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</si>
  <si>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</si>
  <si>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</si>
  <si>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</si>
  <si>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</si>
  <si>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</si>
  <si>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</si>
  <si>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</si>
  <si>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</si>
  <si>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</si>
  <si>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</si>
  <si>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</si>
  <si>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</si>
  <si>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</si>
  <si>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</si>
  <si>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</si>
  <si>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</si>
  <si>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</si>
  <si>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</si>
  <si>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</si>
  <si>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</si>
  <si>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</si>
  <si>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</si>
  <si>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</si>
  <si>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</si>
  <si>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</si>
  <si>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</si>
  <si>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</si>
  <si>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</si>
  <si>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</si>
  <si>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</si>
  <si>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</si>
  <si>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</si>
  <si>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</si>
  <si>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</si>
  <si>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</si>
  <si>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</si>
  <si>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</si>
  <si>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</si>
  <si>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</si>
  <si>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</si>
  <si>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</si>
  <si>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</si>
  <si>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</si>
  <si>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</si>
  <si>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</si>
  <si>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</si>
  <si>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</si>
  <si>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</si>
  <si>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</si>
  <si>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</si>
  <si>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</si>
  <si>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</si>
  <si>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</si>
  <si>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</si>
  <si>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</si>
  <si>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</si>
  <si>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</si>
  <si>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</si>
  <si>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</si>
  <si>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</si>
  <si>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</si>
  <si>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</si>
  <si>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</si>
  <si>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</si>
  <si>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</si>
  <si>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</si>
  <si>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</si>
  <si>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</si>
  <si>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</si>
  <si>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</si>
  <si>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</si>
  <si>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</si>
  <si>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</si>
  <si>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</si>
  <si>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</si>
  <si>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</si>
  <si>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</si>
  <si>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</si>
  <si>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</si>
  <si>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</si>
  <si>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</si>
  <si>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</si>
  <si>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</si>
  <si>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</si>
  <si>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</si>
  <si>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</si>
  <si>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</si>
  <si>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</si>
  <si>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</si>
  <si>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</si>
  <si>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</si>
  <si>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</si>
  <si>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</si>
  <si>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</si>
  <si>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</si>
  <si>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</si>
  <si>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</si>
  <si>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</si>
  <si>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</si>
  <si>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</si>
  <si>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</si>
  <si>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</si>
  <si>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</si>
  <si>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</si>
  <si>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</si>
  <si>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</si>
  <si>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</si>
  <si>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</si>
  <si>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</si>
  <si>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</si>
  <si>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</si>
  <si>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</si>
  <si>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</si>
  <si>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</si>
  <si>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</si>
  <si>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</si>
  <si>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</si>
  <si>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</si>
  <si>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</si>
  <si>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</si>
  <si>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</si>
  <si>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</si>
  <si>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</si>
  <si>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</si>
  <si>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</si>
  <si>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</si>
  <si>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</si>
  <si>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</si>
  <si>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</si>
  <si>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</si>
  <si>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</si>
  <si>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</si>
  <si>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</si>
  <si>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</si>
  <si>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</si>
  <si>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</si>
  <si>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</si>
  <si>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</si>
  <si>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</si>
  <si>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</si>
  <si>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</si>
  <si>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</si>
  <si>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</si>
  <si>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</si>
  <si>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</si>
  <si>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</si>
  <si>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</si>
  <si>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</si>
  <si>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</si>
  <si>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</si>
  <si>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</si>
  <si>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</si>
  <si>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</si>
  <si>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</si>
  <si>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</si>
  <si>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</si>
  <si>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</si>
  <si>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</si>
  <si>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</si>
  <si>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</si>
  <si>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</si>
  <si>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</si>
  <si>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</si>
  <si>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</si>
  <si>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</si>
  <si>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</si>
  <si>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</si>
  <si>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</si>
  <si>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</si>
  <si>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</si>
  <si>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</si>
  <si>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</si>
  <si>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</si>
  <si>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</si>
  <si>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</si>
  <si>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</si>
  <si>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</si>
  <si>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</si>
  <si>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</si>
  <si>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</si>
  <si>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</si>
  <si>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</si>
  <si>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</si>
  <si>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</si>
  <si>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</si>
  <si>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</si>
  <si>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</si>
  <si>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</si>
  <si>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</si>
  <si>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</si>
  <si>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</si>
  <si>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</si>
  <si>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</si>
  <si>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</si>
  <si>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</si>
  <si>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</si>
  <si>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</si>
  <si>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</si>
  <si>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</si>
  <si>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</si>
  <si>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</si>
  <si>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</si>
  <si>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</si>
  <si>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</si>
  <si>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</si>
  <si>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</si>
  <si>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</si>
  <si>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</si>
  <si>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</si>
  <si>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</si>
  <si>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</si>
  <si>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</si>
  <si>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</si>
  <si>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</si>
  <si>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</si>
  <si>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</si>
  <si>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</si>
  <si>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</si>
  <si>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</si>
  <si>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</si>
  <si>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</si>
  <si>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</si>
  <si>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</si>
  <si>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</si>
  <si>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</si>
  <si>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</si>
  <si>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</si>
  <si>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</si>
  <si>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</si>
  <si>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</si>
  <si>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</si>
  <si>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</si>
  <si>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</si>
  <si>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</si>
  <si>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</si>
  <si>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</si>
  <si>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</si>
  <si>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</si>
  <si>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</si>
  <si>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</si>
  <si>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</si>
  <si>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</si>
  <si>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</si>
  <si>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</si>
  <si>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</si>
  <si>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</si>
  <si>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</si>
  <si>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</si>
  <si>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</si>
  <si>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</si>
  <si>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</si>
  <si>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</si>
  <si>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</si>
  <si>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</si>
  <si>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</si>
  <si>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</si>
  <si>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</si>
  <si>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</si>
  <si>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</si>
  <si>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</si>
  <si>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</si>
  <si>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</si>
  <si>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</si>
  <si>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</si>
  <si>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</si>
  <si>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</si>
  <si>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</si>
  <si>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</si>
  <si>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</si>
  <si>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</si>
  <si>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</si>
  <si>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</si>
  <si>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</si>
  <si>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</si>
  <si>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</si>
  <si>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</si>
  <si>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</si>
  <si>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</si>
  <si>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</si>
  <si>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</si>
  <si>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</si>
  <si>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</si>
  <si>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</si>
  <si>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</si>
  <si>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</si>
  <si>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</si>
  <si>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</si>
  <si>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</si>
  <si>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</si>
  <si>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</si>
  <si>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</si>
  <si>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</si>
  <si>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</si>
  <si>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</si>
  <si>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</si>
  <si>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</si>
  <si>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</si>
  <si>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</si>
  <si>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</si>
  <si>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</si>
  <si>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</si>
  <si>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</si>
  <si>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</si>
  <si>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</si>
  <si>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</si>
  <si>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</si>
  <si>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</si>
  <si>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</si>
  <si>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</si>
  <si>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</si>
  <si>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</si>
  <si>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</si>
  <si>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</si>
  <si>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</si>
  <si>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</si>
  <si>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</si>
  <si>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</si>
  <si>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</si>
  <si>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</si>
  <si>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</si>
  <si>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</si>
  <si>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</si>
  <si>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</si>
  <si>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</si>
  <si>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</si>
  <si>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</si>
  <si>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</si>
  <si>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</si>
  <si>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</si>
  <si>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</si>
  <si>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</si>
  <si>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</si>
  <si>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</si>
  <si>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</si>
  <si>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</si>
  <si>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</si>
  <si>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</si>
  <si>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</si>
  <si>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</si>
  <si>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</si>
  <si>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</si>
  <si>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</si>
  <si>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</si>
  <si>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</si>
  <si>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</si>
  <si>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</si>
  <si>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</si>
  <si>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</si>
  <si>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</si>
  <si>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</si>
  <si>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</si>
  <si>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</si>
  <si>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</si>
  <si>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</si>
  <si>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</si>
  <si>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</si>
  <si>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</si>
  <si>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</si>
  <si>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</si>
  <si>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</si>
  <si>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</si>
  <si>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</si>
  <si>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</si>
  <si>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</si>
  <si>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</si>
  <si>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</si>
  <si>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</si>
  <si>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</si>
  <si>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</si>
  <si>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</si>
  <si>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</si>
  <si>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</si>
  <si>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</si>
  <si>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</si>
  <si>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</si>
  <si>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</si>
  <si>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</si>
  <si>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</si>
  <si>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</si>
  <si>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</si>
  <si>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</si>
  <si>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</si>
  <si>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</si>
  <si>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</si>
  <si>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</si>
  <si>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</si>
  <si>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</si>
  <si>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</si>
  <si>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</si>
  <si>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</si>
  <si>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</si>
  <si>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</si>
  <si>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</si>
  <si>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</si>
  <si>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</si>
  <si>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</si>
  <si>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</si>
  <si>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</si>
  <si>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</si>
  <si>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</si>
  <si>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</si>
  <si>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</si>
  <si>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</si>
  <si>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</si>
  <si>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</si>
  <si>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</si>
  <si>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</si>
  <si>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</si>
  <si>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</si>
  <si>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</si>
  <si>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</si>
  <si>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</si>
  <si>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</si>
  <si>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</si>
  <si>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</si>
  <si>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</si>
  <si>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</si>
  <si>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</si>
  <si>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</si>
  <si>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</si>
  <si>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</si>
  <si>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</si>
  <si>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</si>
  <si>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</si>
  <si>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</si>
  <si>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</si>
  <si>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</si>
  <si>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</si>
  <si>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</si>
  <si>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</si>
  <si>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</si>
  <si>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</si>
  <si>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</si>
  <si>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</si>
  <si>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</si>
  <si>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</si>
  <si>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</si>
  <si>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</si>
  <si>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</si>
  <si>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</si>
  <si>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</si>
  <si>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</si>
  <si>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</si>
  <si>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</si>
  <si>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</si>
  <si>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</si>
  <si>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</si>
  <si>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</si>
  <si>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</si>
  <si>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</si>
  <si>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</si>
  <si>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</si>
  <si>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</si>
  <si>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</si>
  <si>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</si>
  <si>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</si>
  <si>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</si>
  <si>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</si>
  <si>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</si>
  <si>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</si>
  <si>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</si>
  <si>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</si>
  <si>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</si>
  <si>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</si>
  <si>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</si>
  <si>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</si>
  <si>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</si>
  <si>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</si>
  <si>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</si>
  <si>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</si>
  <si>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</si>
  <si>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</si>
  <si>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</si>
  <si>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</si>
  <si>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</si>
  <si>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</si>
  <si>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</si>
  <si>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</si>
  <si>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</si>
  <si>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</si>
  <si>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</si>
  <si>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</si>
  <si>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</si>
  <si>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</si>
  <si>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</si>
  <si>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</si>
  <si>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</si>
  <si>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</si>
  <si>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</si>
  <si>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</si>
  <si>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</si>
  <si>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</si>
  <si>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</si>
  <si>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</si>
  <si>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</si>
  <si>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</si>
  <si>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</si>
  <si>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</si>
  <si>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</si>
  <si>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</si>
  <si>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</si>
  <si>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</si>
  <si>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</si>
  <si>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</si>
  <si>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</si>
  <si>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</si>
  <si>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</si>
  <si>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</si>
  <si>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</si>
  <si>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</si>
  <si>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</si>
  <si>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</si>
  <si>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</si>
  <si>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</si>
  <si>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</si>
  <si>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</si>
  <si>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</si>
  <si>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</si>
  <si>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</si>
  <si>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</si>
  <si>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</si>
  <si>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</si>
  <si>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</si>
  <si>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</si>
  <si>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</si>
  <si>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</si>
  <si>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</si>
  <si>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</si>
  <si>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</si>
  <si>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</si>
  <si>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</si>
  <si>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</si>
  <si>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</si>
  <si>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</si>
  <si>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</si>
  <si>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</si>
  <si>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</si>
  <si>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</si>
  <si>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</si>
  <si>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</si>
  <si>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</si>
  <si>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</si>
  <si>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</si>
  <si>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</si>
  <si>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</si>
  <si>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</si>
  <si>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</si>
  <si>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</si>
  <si>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</si>
  <si>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</si>
  <si>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</si>
  <si>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</si>
  <si>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</si>
  <si>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</si>
  <si>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</si>
  <si>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</si>
  <si>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</si>
  <si>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</si>
  <si>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</si>
  <si>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</si>
  <si>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</si>
  <si>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</si>
  <si>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</si>
  <si>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</si>
  <si>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</si>
  <si>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</si>
  <si>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</si>
  <si>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</si>
  <si>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</si>
  <si>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</si>
  <si>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</si>
  <si>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</si>
  <si>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</si>
  <si>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</si>
  <si>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</si>
  <si>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</si>
  <si>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</si>
  <si>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</si>
  <si>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</si>
  <si>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</si>
  <si>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</si>
  <si>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</si>
  <si>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</si>
  <si>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</si>
  <si>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</si>
  <si>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</si>
  <si>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</si>
  <si>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</si>
  <si>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</si>
  <si>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</si>
  <si>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</si>
  <si>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</si>
  <si>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</si>
  <si>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</si>
  <si>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</si>
  <si>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</si>
  <si>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</si>
  <si>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</si>
  <si>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</si>
  <si>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</si>
  <si>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</si>
  <si>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</si>
  <si>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</si>
  <si>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</si>
  <si>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</si>
  <si>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</si>
  <si>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</si>
  <si>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</si>
  <si>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</si>
  <si>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</si>
  <si>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</si>
  <si>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</si>
  <si>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</si>
  <si>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</si>
  <si>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</si>
  <si>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</si>
  <si>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</si>
  <si>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</si>
  <si>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</si>
  <si>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</si>
  <si>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</si>
  <si>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</si>
  <si>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</si>
  <si>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</si>
  <si>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</si>
  <si>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</si>
  <si>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</si>
  <si>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</si>
  <si>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</si>
  <si>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</si>
  <si>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</si>
  <si>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</si>
  <si>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</si>
  <si>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</si>
  <si>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</si>
  <si>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</si>
  <si>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</si>
  <si>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</si>
  <si>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</si>
  <si>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</si>
  <si>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</si>
  <si>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</si>
  <si>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</si>
  <si>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</si>
  <si>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</si>
  <si>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</si>
  <si>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</si>
  <si>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</si>
  <si>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</si>
  <si>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</si>
  <si>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</si>
  <si>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</si>
  <si>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</si>
  <si>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</si>
  <si>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</si>
  <si>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</si>
  <si>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</si>
  <si>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</si>
  <si>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</si>
  <si>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</si>
  <si>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</si>
  <si>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</si>
  <si>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</si>
  <si>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</si>
  <si>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</si>
  <si>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</si>
  <si>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</si>
  <si>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</si>
  <si>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</si>
  <si>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</si>
  <si>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</si>
  <si>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</si>
  <si>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</si>
  <si>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</si>
  <si>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</si>
  <si>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</si>
  <si>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</si>
  <si>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</si>
  <si>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</si>
  <si>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</si>
  <si>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</si>
  <si>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</si>
  <si>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</si>
  <si>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</si>
  <si>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</si>
  <si>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</si>
  <si>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</si>
  <si>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</si>
  <si>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</si>
  <si>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</si>
  <si>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</si>
  <si>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</si>
  <si>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</si>
  <si>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</si>
  <si>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</si>
  <si>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</si>
  <si>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</si>
  <si>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</si>
  <si>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</si>
  <si>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</si>
  <si>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</si>
  <si>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</si>
  <si>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</si>
  <si>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</si>
  <si>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</si>
  <si>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</si>
  <si>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</si>
  <si>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</si>
  <si>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</si>
  <si>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</si>
  <si>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</si>
  <si>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</si>
  <si>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</si>
  <si>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</si>
  <si>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</si>
  <si>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</si>
  <si>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</si>
  <si>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</si>
  <si>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</si>
  <si>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</si>
  <si>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</si>
  <si>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</si>
  <si>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</si>
  <si>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</si>
  <si>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</si>
  <si>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</si>
  <si>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</si>
  <si>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</si>
  <si>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</si>
  <si>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</si>
  <si>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</si>
  <si>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</si>
  <si>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</si>
  <si>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</si>
  <si>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</si>
  <si>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</si>
  <si>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</si>
  <si>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</si>
  <si>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</si>
  <si>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</si>
  <si>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</si>
  <si>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</si>
  <si>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</si>
  <si>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</si>
  <si>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</si>
  <si>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</si>
  <si>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</si>
  <si>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</si>
  <si>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</si>
  <si>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</si>
  <si>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</si>
  <si>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</si>
  <si>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</si>
  <si>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</si>
  <si>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</si>
  <si>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</si>
  <si>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</si>
  <si>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</si>
  <si>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</si>
  <si>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</si>
  <si>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</si>
  <si>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</si>
  <si>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</si>
  <si>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</si>
  <si>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</si>
  <si>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</si>
  <si>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</si>
  <si>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</si>
  <si>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</si>
  <si>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</si>
  <si>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</si>
  <si>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</si>
  <si>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</si>
  <si>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</si>
  <si>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</si>
  <si>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</si>
  <si>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</si>
  <si>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</si>
  <si>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</si>
  <si>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</si>
  <si>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</si>
  <si>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</si>
  <si>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</si>
  <si>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</si>
  <si>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</si>
  <si>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</si>
  <si>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</si>
  <si>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</si>
  <si>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</si>
  <si>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</si>
  <si>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</si>
  <si>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</si>
  <si>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</si>
  <si>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</si>
  <si>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</si>
  <si>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</si>
  <si>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</si>
  <si>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</si>
  <si>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</si>
  <si>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</si>
  <si>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</si>
  <si>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</si>
  <si>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</si>
  <si>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</si>
  <si>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</si>
  <si>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</si>
  <si>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</si>
  <si>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</si>
  <si>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</si>
  <si>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</si>
  <si>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</si>
  <si>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</si>
  <si>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</si>
  <si>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</si>
  <si>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</si>
  <si>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</si>
  <si>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</si>
  <si>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</si>
  <si>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</si>
  <si>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</si>
  <si>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</si>
  <si>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</si>
  <si>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</si>
  <si>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</si>
  <si>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</si>
  <si>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</si>
  <si>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</si>
  <si>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</si>
  <si>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</si>
  <si>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</si>
  <si>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</si>
  <si>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</si>
  <si>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</si>
  <si>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</si>
  <si>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</si>
  <si>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</si>
  <si>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</si>
  <si>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</si>
  <si>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</si>
  <si>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</si>
  <si>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</si>
  <si>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</si>
  <si>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</si>
  <si>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</si>
  <si>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</si>
  <si>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</si>
  <si>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</si>
  <si>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</si>
  <si>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</si>
  <si>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</si>
  <si>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</si>
  <si>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</si>
  <si>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</si>
  <si>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</si>
  <si>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</si>
  <si>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</si>
  <si>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</si>
  <si>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</si>
  <si>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</si>
  <si>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</si>
  <si>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</si>
  <si>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</si>
  <si>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</si>
  <si>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</si>
  <si>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</si>
  <si>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</si>
  <si>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</si>
  <si>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</si>
  <si>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</si>
  <si>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</si>
  <si>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</si>
  <si>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</si>
  <si>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</si>
  <si>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</si>
  <si>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</si>
  <si>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</si>
  <si>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</si>
  <si>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</si>
  <si>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</si>
  <si>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</si>
  <si>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</si>
  <si>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</si>
  <si>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</si>
  <si>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</si>
  <si>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</si>
  <si>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</si>
  <si>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</si>
  <si>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</si>
  <si>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</si>
  <si>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</si>
  <si>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</si>
  <si>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</si>
  <si>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</si>
  <si>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</si>
  <si>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</si>
  <si>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</si>
  <si>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</si>
  <si>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</si>
  <si>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</si>
  <si>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</si>
  <si>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</si>
  <si>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</si>
  <si>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</si>
  <si>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</si>
  <si>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</si>
  <si>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</si>
  <si>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</si>
  <si>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</si>
  <si>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</si>
  <si>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</si>
  <si>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</si>
  <si>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</si>
  <si>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</si>
  <si>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</si>
  <si>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</si>
  <si>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</si>
  <si>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</si>
  <si>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</si>
  <si>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</si>
  <si>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</si>
  <si>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</si>
  <si>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</si>
  <si>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</si>
  <si>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</si>
  <si>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</si>
  <si>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</si>
  <si>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</si>
  <si>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</si>
  <si>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</si>
  <si>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</si>
  <si>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</si>
  <si>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</si>
  <si>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</si>
  <si>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</si>
  <si>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</si>
  <si>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</si>
  <si>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</si>
  <si>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</si>
  <si>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</si>
  <si>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</si>
  <si>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</si>
  <si>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</si>
  <si>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</si>
  <si>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</si>
  <si>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</si>
  <si>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</si>
  <si>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</si>
  <si>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</si>
  <si>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</si>
  <si>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</si>
  <si>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</si>
  <si>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</si>
  <si>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</si>
  <si>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</si>
  <si>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</si>
  <si>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</si>
  <si>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</si>
  <si>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</si>
  <si>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</si>
  <si>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</si>
  <si>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</si>
  <si>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</si>
  <si>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</si>
  <si>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</si>
  <si>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</si>
  <si>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</si>
  <si>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</si>
  <si>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</si>
  <si>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</si>
  <si>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</si>
  <si>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</si>
  <si>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</si>
  <si>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</si>
  <si>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</si>
  <si>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</si>
  <si>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</si>
  <si>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</si>
  <si>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</si>
  <si>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</si>
  <si>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</si>
  <si>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</si>
  <si>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</si>
  <si>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</si>
  <si>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</si>
  <si>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</si>
  <si>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</si>
  <si>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</si>
  <si>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</si>
  <si>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</si>
  <si>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</si>
  <si>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</si>
  <si>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</si>
  <si>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</si>
  <si>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</si>
  <si>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</si>
  <si>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</si>
  <si>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</si>
  <si>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</si>
  <si>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</si>
  <si>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</si>
  <si>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</si>
  <si>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</si>
  <si>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</si>
  <si>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</si>
  <si>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</si>
  <si>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</si>
  <si>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</si>
  <si>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</si>
  <si>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</si>
  <si>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</si>
  <si>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</si>
  <si>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</si>
  <si>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</si>
  <si>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</si>
  <si>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</si>
  <si>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</si>
  <si>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</si>
  <si>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</si>
  <si>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</si>
  <si>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</si>
  <si>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</si>
  <si>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</si>
  <si>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</si>
  <si>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</si>
  <si>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</si>
  <si>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</si>
  <si>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</si>
  <si>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</si>
  <si>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</si>
  <si>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</si>
  <si>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</si>
  <si>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</si>
  <si>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</si>
  <si>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</si>
  <si>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</si>
  <si>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</si>
  <si>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</si>
  <si>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</si>
  <si>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</si>
  <si>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</si>
  <si>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</si>
  <si>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</si>
  <si>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</si>
  <si>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</si>
  <si>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</si>
  <si>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</si>
  <si>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</si>
  <si>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</si>
  <si>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</si>
  <si>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</si>
  <si>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</si>
  <si>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</si>
  <si>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</si>
  <si>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</si>
  <si>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</si>
  <si>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</si>
  <si>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</si>
  <si>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</si>
  <si>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</si>
  <si>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</si>
  <si>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</si>
  <si>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</si>
  <si>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</si>
  <si>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</si>
  <si>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</si>
  <si>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</si>
  <si>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</si>
  <si>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</si>
  <si>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</si>
  <si>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</si>
  <si>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</si>
  <si>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</si>
  <si>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</si>
  <si>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</si>
  <si>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</si>
  <si>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</si>
  <si>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</si>
  <si>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</si>
  <si>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</si>
  <si>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</si>
  <si>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</si>
  <si>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</si>
  <si>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</si>
  <si>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</si>
  <si>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</si>
  <si>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</si>
  <si>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</si>
  <si>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</si>
  <si>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</si>
  <si>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</si>
  <si>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</si>
  <si>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</si>
  <si>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</si>
  <si>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</si>
  <si>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</si>
  <si>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</si>
  <si>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</si>
  <si>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</si>
  <si>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</si>
  <si>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</si>
  <si>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</si>
  <si>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</si>
  <si>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</si>
  <si>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</si>
  <si>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</si>
  <si>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</si>
  <si>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</si>
  <si>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</si>
  <si>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</si>
  <si>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</si>
  <si>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</si>
  <si>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</si>
  <si>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</si>
  <si>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</si>
  <si>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</si>
  <si>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</si>
  <si>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</si>
  <si>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</si>
  <si>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</si>
  <si>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</si>
  <si>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</si>
  <si>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</si>
  <si>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</si>
  <si>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</si>
  <si>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</si>
  <si>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</si>
  <si>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</si>
  <si>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</si>
  <si>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</si>
  <si>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</si>
  <si>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</si>
  <si>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</si>
  <si>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</si>
  <si>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</si>
  <si>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</si>
  <si>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</si>
  <si>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</si>
  <si>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</si>
  <si>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</si>
  <si>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</si>
  <si>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</si>
  <si>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</si>
  <si>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</si>
  <si>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</si>
  <si>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</si>
  <si>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</si>
  <si>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</si>
  <si>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</si>
  <si>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</si>
  <si>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</si>
  <si>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</si>
  <si>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</si>
  <si>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</si>
  <si>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</si>
  <si>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</si>
  <si>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</si>
  <si>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</si>
  <si>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</si>
  <si>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</si>
  <si>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</si>
  <si>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</si>
  <si>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</si>
  <si>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</si>
  <si>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</si>
  <si>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</si>
  <si>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</si>
  <si>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</si>
  <si>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</si>
  <si>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</si>
  <si>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</si>
  <si>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</si>
  <si>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</si>
  <si>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</si>
  <si>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</si>
  <si>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</si>
  <si>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</si>
  <si>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</si>
  <si>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</si>
  <si>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</si>
  <si>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</si>
  <si>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</si>
  <si>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</si>
  <si>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</si>
  <si>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</si>
  <si>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</si>
  <si>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</si>
  <si>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</si>
  <si>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</si>
  <si>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</si>
  <si>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</si>
  <si>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</si>
  <si>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</si>
  <si>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</si>
  <si>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</si>
  <si>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</si>
  <si>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</si>
  <si>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</si>
  <si>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</si>
  <si>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</si>
  <si>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</si>
  <si>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</si>
  <si>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</si>
  <si>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</si>
  <si>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</si>
  <si>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</si>
  <si>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</si>
  <si>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</si>
  <si>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</si>
  <si>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</si>
  <si>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</si>
  <si>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</si>
  <si>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</si>
  <si>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</si>
  <si>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</si>
  <si>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</si>
  <si>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</si>
  <si>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</si>
  <si>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</si>
  <si>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</si>
  <si>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</si>
  <si>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</si>
  <si>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</si>
  <si>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</si>
  <si>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</si>
  <si>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</si>
  <si>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</si>
  <si>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</si>
  <si>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</si>
  <si>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</si>
  <si>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</si>
  <si>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</si>
  <si>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</si>
  <si>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</si>
  <si>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</si>
  <si>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</si>
  <si>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</si>
  <si>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</si>
  <si>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</si>
  <si>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</si>
  <si>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</si>
  <si>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</si>
  <si>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</si>
  <si>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</si>
  <si>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</si>
  <si>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</si>
  <si>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</si>
  <si>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</si>
  <si>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</si>
  <si>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</si>
  <si>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</si>
  <si>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</si>
  <si>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</si>
  <si>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</si>
  <si>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</si>
  <si>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</si>
  <si>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</si>
  <si>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</si>
  <si>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</si>
  <si>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</si>
  <si>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</si>
  <si>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</si>
  <si>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</si>
  <si>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</si>
  <si>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</si>
  <si>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</si>
  <si>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</si>
  <si>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</si>
  <si>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</si>
  <si>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</si>
  <si>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</si>
  <si>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</si>
  <si>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</si>
  <si>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</si>
  <si>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</si>
  <si>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</si>
  <si>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</si>
  <si>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</si>
  <si>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</si>
  <si>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</si>
  <si>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</si>
  <si>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</si>
  <si>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</si>
  <si>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</si>
  <si>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</si>
  <si>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</si>
  <si>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</si>
  <si>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</si>
  <si>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</si>
  <si>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</si>
  <si>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</si>
  <si>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</si>
  <si>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</si>
  <si>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</si>
  <si>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</si>
  <si>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</si>
  <si>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</si>
  <si>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</si>
  <si>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</si>
  <si>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</si>
  <si>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</si>
  <si>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</si>
  <si>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</si>
  <si>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</si>
  <si>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</si>
  <si>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</si>
  <si>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</si>
  <si>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</si>
  <si>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</si>
  <si>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</si>
  <si>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</si>
  <si>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</si>
  <si>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</si>
  <si>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</si>
  <si>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</si>
  <si>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</si>
  <si>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</si>
  <si>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</si>
  <si>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</si>
  <si>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</si>
  <si>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</si>
  <si>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</si>
  <si>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</si>
  <si>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</si>
  <si>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</si>
  <si>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</si>
  <si>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</si>
  <si>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</si>
  <si>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</si>
  <si>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</si>
  <si>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</si>
  <si>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</si>
  <si>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</si>
  <si>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</si>
  <si>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</si>
  <si>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</si>
  <si>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</si>
  <si>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</si>
  <si>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</si>
  <si>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</si>
  <si>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</si>
  <si>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</si>
  <si>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</si>
  <si>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</si>
  <si>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</si>
  <si>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</si>
  <si>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</si>
  <si>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</si>
  <si>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</si>
  <si>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</si>
  <si>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</si>
  <si>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</si>
  <si>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</si>
  <si>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</si>
  <si>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</si>
  <si>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</si>
  <si>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</si>
  <si>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</si>
  <si>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</si>
  <si>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</si>
  <si>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</si>
  <si>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</si>
  <si>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</si>
  <si>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</si>
  <si>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</si>
  <si>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</si>
  <si>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</si>
  <si>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</si>
  <si>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</si>
  <si>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</si>
  <si>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</si>
  <si>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</si>
  <si>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</si>
  <si>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</si>
  <si>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</si>
  <si>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</si>
  <si>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</si>
  <si>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</si>
  <si>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</si>
  <si>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</si>
  <si>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</si>
  <si>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</si>
  <si>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</si>
  <si>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</si>
  <si>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</si>
  <si>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</si>
  <si>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</si>
  <si>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</si>
  <si>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</si>
  <si>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</si>
  <si>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</si>
  <si>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</si>
  <si>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</si>
  <si>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</si>
  <si>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</si>
  <si>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</si>
  <si>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</si>
  <si>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</si>
  <si>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</si>
  <si>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</si>
  <si>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</si>
  <si>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</si>
  <si>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</si>
  <si>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</si>
  <si>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</si>
  <si>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</si>
  <si>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</si>
  <si>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</si>
  <si>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</si>
  <si>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</si>
  <si>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</si>
  <si>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</si>
  <si>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</si>
  <si>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</si>
  <si>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</si>
  <si>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</si>
  <si>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</si>
  <si>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</si>
  <si>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</si>
  <si>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</si>
  <si>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</si>
  <si>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</si>
  <si>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</si>
  <si>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</si>
  <si>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</si>
  <si>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</si>
  <si>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</si>
  <si>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</si>
  <si>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</si>
  <si>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</si>
  <si>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</si>
  <si>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</si>
  <si>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</si>
  <si>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</si>
  <si>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</si>
  <si>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</si>
  <si>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</si>
  <si>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</si>
  <si>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</si>
  <si>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</si>
  <si>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</si>
  <si>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</si>
  <si>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</si>
  <si>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</si>
  <si>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</si>
  <si>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</si>
  <si>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</si>
  <si>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</si>
  <si>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</si>
  <si>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</si>
  <si>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</si>
  <si>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</si>
  <si>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</si>
  <si>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</si>
  <si>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</si>
  <si>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</si>
  <si>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</si>
  <si>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</si>
  <si>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</si>
  <si>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</si>
  <si>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</si>
  <si>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</si>
  <si>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</si>
  <si>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</si>
  <si>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</si>
  <si>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</si>
  <si>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</si>
  <si>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</si>
  <si>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</si>
  <si>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</si>
  <si>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</si>
  <si>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</si>
  <si>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</si>
  <si>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</si>
  <si>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</si>
  <si>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</si>
  <si>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</si>
  <si>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</si>
  <si>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</si>
  <si>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</si>
  <si>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</si>
  <si>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</si>
  <si>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</si>
  <si>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</si>
  <si>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</si>
  <si>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</si>
  <si>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</si>
  <si>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</si>
  <si>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</si>
  <si>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</si>
  <si>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</si>
  <si>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</si>
  <si>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</si>
  <si>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</si>
  <si>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</si>
  <si>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</si>
  <si>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</si>
  <si>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</si>
  <si>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</si>
  <si>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</si>
  <si>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</si>
  <si>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</si>
  <si>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</si>
  <si>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</si>
  <si>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</si>
  <si>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</si>
  <si>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</si>
  <si>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</si>
  <si>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</si>
  <si>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</si>
  <si>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</si>
  <si>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</si>
  <si>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</si>
  <si>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</si>
  <si>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</si>
  <si>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</si>
  <si>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</si>
  <si>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</si>
  <si>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</si>
  <si>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</si>
  <si>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</si>
  <si>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</si>
  <si>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</si>
  <si>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</si>
  <si>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</si>
  <si>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</si>
  <si>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</si>
  <si>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</si>
  <si>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</si>
  <si>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</si>
  <si>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</si>
  <si>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</si>
  <si>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</si>
  <si>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</si>
  <si>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</si>
  <si>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</si>
  <si>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</si>
  <si>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</si>
  <si>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</si>
  <si>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</si>
  <si>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</si>
  <si>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</si>
  <si>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</si>
  <si>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</si>
  <si>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</si>
  <si>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</si>
  <si>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</si>
  <si>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</si>
  <si>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</si>
  <si>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</si>
  <si>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</si>
  <si>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</si>
  <si>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</si>
  <si>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</si>
  <si>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</si>
  <si>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</si>
  <si>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</si>
  <si>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</si>
  <si>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</si>
  <si>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</si>
  <si>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</si>
  <si>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</si>
  <si>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</si>
  <si>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</si>
  <si>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</si>
  <si>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</si>
  <si>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</si>
  <si>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</si>
  <si>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</si>
  <si>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</si>
  <si>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</si>
  <si>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</si>
  <si>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</si>
  <si>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</si>
  <si>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</si>
  <si>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</si>
  <si>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</si>
  <si>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</si>
  <si>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</si>
  <si>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</si>
  <si>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</si>
  <si>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</si>
  <si>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</si>
  <si>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</si>
  <si>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</si>
  <si>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</si>
  <si>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</si>
  <si>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</si>
  <si>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</si>
  <si>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</si>
  <si>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</si>
  <si>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</si>
  <si>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</si>
  <si>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</si>
  <si>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</si>
  <si>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</si>
  <si>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</si>
  <si>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</si>
  <si>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</si>
  <si>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</si>
  <si>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</si>
  <si>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</si>
  <si>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</si>
  <si>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</si>
  <si>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</si>
  <si>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</si>
  <si>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</si>
  <si>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</si>
  <si>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</si>
  <si>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</si>
  <si>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</si>
  <si>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</si>
  <si>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</si>
  <si>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</si>
  <si>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</si>
  <si>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</si>
  <si>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</si>
  <si>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</si>
  <si>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</si>
  <si>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</si>
  <si>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</si>
  <si>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</si>
  <si>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</si>
  <si>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</si>
  <si>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</si>
  <si>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</si>
  <si>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</si>
  <si>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</si>
  <si>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</si>
  <si>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</si>
  <si>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</si>
  <si>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</si>
  <si>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</si>
  <si>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</si>
  <si>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</si>
  <si>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</si>
  <si>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</si>
  <si>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</si>
  <si>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</si>
  <si>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</si>
  <si>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</si>
  <si>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</si>
  <si>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</si>
  <si>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</si>
  <si>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</si>
  <si>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</si>
  <si>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</si>
  <si>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</si>
  <si>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</si>
  <si>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</si>
  <si>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</si>
  <si>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</si>
  <si>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</si>
  <si>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</si>
  <si>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</si>
  <si>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</si>
  <si>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</si>
  <si>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</si>
  <si>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</si>
  <si>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</si>
  <si>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</si>
  <si>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</si>
  <si>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</si>
  <si>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</si>
  <si>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</si>
  <si>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</si>
  <si>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</si>
  <si>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</si>
  <si>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</si>
  <si>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</si>
  <si>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</si>
  <si>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</si>
  <si>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</si>
  <si>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</si>
  <si>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</si>
  <si>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</si>
  <si>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</si>
  <si>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</si>
  <si>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</si>
  <si>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</si>
  <si>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</si>
  <si>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</si>
  <si>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</si>
  <si>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</si>
  <si>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</si>
  <si>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</si>
  <si>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</si>
  <si>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</si>
  <si>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</si>
  <si>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</si>
  <si>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</si>
  <si>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</si>
  <si>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</si>
  <si>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</si>
  <si>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</si>
  <si>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</si>
  <si>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</si>
  <si>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</si>
  <si>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</si>
  <si>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</si>
  <si>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</si>
  <si>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</si>
  <si>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</si>
  <si>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</si>
  <si>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</si>
  <si>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</si>
  <si>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</si>
  <si>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</si>
  <si>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</si>
  <si>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</si>
  <si>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</si>
  <si>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</si>
  <si>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</si>
  <si>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</si>
  <si>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</si>
  <si>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</si>
  <si>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</si>
  <si>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</si>
  <si>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</si>
  <si>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</si>
  <si>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</si>
  <si>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</si>
  <si>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</si>
  <si>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</si>
  <si>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</si>
  <si>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</si>
  <si>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</si>
  <si>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</si>
  <si>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</si>
  <si>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</si>
  <si>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</si>
  <si>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</si>
  <si>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</si>
  <si>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</si>
  <si>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</si>
  <si>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</si>
  <si>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</si>
  <si>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</si>
  <si>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</si>
  <si>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</si>
  <si>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</si>
  <si>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</si>
  <si>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</si>
  <si>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</si>
  <si>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</si>
  <si>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</si>
  <si>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</si>
  <si>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</si>
  <si>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</si>
  <si>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</si>
  <si>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</si>
  <si>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</si>
  <si>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</si>
  <si>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</si>
  <si>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</si>
  <si>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</si>
  <si>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</si>
  <si>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</si>
  <si>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</si>
  <si>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</si>
  <si>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</si>
  <si>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</si>
  <si>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</si>
  <si>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</si>
  <si>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</si>
  <si>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</si>
  <si>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</si>
  <si>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</si>
  <si>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</si>
  <si>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</si>
  <si>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</si>
  <si>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</si>
  <si>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</si>
  <si>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</si>
  <si>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</si>
  <si>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</si>
  <si>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</si>
  <si>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</si>
  <si>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</si>
  <si>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</si>
  <si>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</si>
  <si>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</si>
  <si>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</si>
  <si>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</si>
  <si>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</si>
  <si>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</si>
  <si>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</si>
  <si>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</si>
  <si>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</si>
  <si>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</si>
  <si>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</si>
  <si>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</si>
  <si>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</si>
  <si>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</si>
  <si>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</si>
  <si>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</si>
  <si>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</si>
  <si>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</si>
  <si>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</si>
  <si>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</si>
  <si>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</si>
  <si>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</si>
  <si>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</si>
  <si>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</si>
  <si>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</si>
  <si>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</si>
  <si>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</si>
  <si>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</si>
  <si>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</si>
  <si>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</si>
  <si>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</si>
  <si>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</si>
  <si>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</si>
  <si>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</si>
  <si>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</si>
  <si>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</si>
  <si>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</si>
  <si>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</si>
  <si>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</si>
  <si>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</si>
  <si>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</si>
  <si>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</si>
  <si>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</si>
  <si>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</si>
  <si>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</si>
  <si>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</si>
  <si>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</si>
  <si>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</si>
  <si>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</si>
  <si>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</si>
  <si>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</si>
  <si>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</si>
  <si>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</si>
  <si>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</si>
  <si>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</si>
  <si>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</si>
  <si>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</si>
  <si>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</si>
  <si>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</si>
  <si>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</si>
  <si>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</si>
  <si>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</si>
  <si>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</si>
  <si>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</si>
  <si>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</si>
  <si>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</si>
  <si>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</si>
  <si>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</si>
  <si>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</si>
  <si>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</si>
  <si>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</si>
  <si>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</si>
  <si>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</si>
  <si>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</si>
  <si>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</si>
  <si>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</si>
  <si>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</si>
  <si>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</si>
  <si>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</si>
  <si>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</si>
  <si>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</si>
  <si>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</si>
  <si>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</si>
  <si>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</si>
  <si>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</si>
  <si>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</si>
  <si>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</si>
  <si>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</si>
  <si>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</si>
  <si>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</si>
  <si>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</si>
  <si>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</si>
  <si>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</si>
  <si>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</si>
  <si>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</si>
  <si>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</si>
  <si>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</si>
  <si>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</si>
  <si>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</si>
  <si>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</si>
  <si>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</si>
  <si>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</si>
  <si>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</si>
  <si>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</si>
  <si>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</si>
  <si>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</si>
  <si>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</si>
  <si>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</si>
  <si>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</si>
  <si>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</si>
  <si>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</si>
  <si>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</si>
  <si>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</si>
  <si>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</si>
  <si>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</si>
  <si>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</si>
  <si>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</si>
  <si>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</si>
  <si>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</si>
  <si>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</si>
  <si>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</si>
  <si>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</si>
  <si>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</si>
  <si>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</si>
  <si>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</si>
  <si>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</si>
  <si>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</si>
  <si>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</si>
  <si>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</si>
  <si>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</si>
  <si>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</si>
  <si>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</si>
  <si>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</si>
  <si>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</si>
  <si>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</si>
  <si>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</si>
  <si>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</si>
  <si>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</si>
  <si>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</si>
  <si>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</si>
  <si>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</si>
  <si>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</si>
  <si>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</si>
  <si>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</si>
  <si>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</si>
  <si>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</si>
  <si>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</si>
  <si>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</si>
  <si>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</si>
  <si>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</si>
  <si>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</si>
  <si>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</si>
  <si>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</si>
  <si>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</si>
  <si>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</si>
  <si>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</si>
  <si>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</si>
  <si>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</si>
  <si>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</si>
  <si>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</si>
  <si>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</si>
  <si>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</si>
  <si>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</si>
  <si>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</si>
  <si>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</si>
  <si>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</si>
  <si>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</si>
  <si>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</si>
  <si>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</si>
  <si>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</si>
  <si>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</si>
  <si>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</si>
  <si>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</si>
  <si>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</si>
  <si>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</si>
  <si>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</si>
  <si>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</si>
  <si>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</si>
  <si>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</si>
  <si>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</si>
  <si>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</si>
  <si>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</si>
  <si>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</si>
  <si>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</si>
  <si>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</si>
  <si>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</si>
  <si>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</si>
  <si>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</si>
  <si>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</si>
  <si>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</si>
  <si>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</si>
  <si>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</si>
  <si>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</si>
  <si>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</si>
  <si>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</si>
  <si>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</si>
  <si>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</si>
  <si>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</si>
  <si>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</si>
  <si>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</si>
  <si>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</si>
  <si>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</si>
  <si>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</si>
  <si>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</si>
  <si>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</si>
  <si>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</si>
  <si>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</si>
  <si>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</si>
  <si>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</si>
  <si>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</si>
  <si>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</si>
  <si>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</si>
  <si>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</si>
  <si>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</si>
  <si>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</si>
  <si>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</si>
  <si>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</si>
  <si>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</si>
  <si>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</si>
  <si>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</si>
  <si>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</si>
  <si>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</si>
  <si>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</si>
  <si>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</si>
  <si>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</si>
  <si>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</si>
  <si>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</si>
  <si>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</si>
  <si>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</si>
  <si>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</si>
  <si>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</si>
  <si>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</si>
  <si>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</si>
  <si>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</si>
  <si>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</si>
  <si>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</si>
  <si>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</si>
  <si>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</si>
  <si>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</si>
  <si>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</si>
  <si>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</si>
  <si>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</si>
  <si>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</si>
  <si>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</si>
  <si>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</si>
  <si>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</si>
  <si>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</si>
  <si>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</si>
  <si>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</si>
  <si>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</si>
  <si>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</si>
  <si>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</si>
  <si>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</si>
  <si>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</si>
  <si>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</si>
  <si>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</si>
  <si>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</si>
  <si>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</si>
  <si>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</si>
  <si>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</si>
  <si>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</si>
  <si>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</si>
  <si>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</si>
  <si>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</si>
  <si>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</si>
  <si>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</si>
  <si>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</si>
  <si>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</si>
  <si>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</si>
  <si>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</si>
  <si>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</si>
  <si>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</si>
  <si>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</si>
  <si>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</si>
  <si>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</si>
  <si>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</si>
  <si>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</si>
  <si>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</si>
  <si>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</si>
  <si>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</si>
  <si>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</si>
  <si>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</si>
  <si>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</si>
  <si>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</si>
  <si>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</si>
  <si>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</si>
  <si>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</si>
  <si>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</si>
  <si>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</si>
  <si>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</si>
  <si>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</si>
  <si>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</si>
  <si>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</si>
  <si>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</si>
  <si>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</si>
  <si>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</si>
  <si>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</si>
  <si>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</si>
  <si>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</si>
  <si>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</si>
  <si>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</si>
  <si>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</si>
  <si>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</si>
  <si>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</si>
  <si>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</si>
  <si>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</si>
  <si>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</si>
  <si>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</si>
  <si>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</si>
  <si>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</si>
  <si>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</si>
  <si>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</si>
  <si>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</si>
  <si>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</si>
  <si>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</si>
  <si>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</si>
  <si>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</si>
  <si>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</si>
  <si>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</si>
  <si>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</si>
  <si>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</si>
  <si>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</si>
  <si>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</si>
  <si>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</si>
  <si>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</si>
  <si>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</si>
  <si>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</si>
  <si>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</si>
  <si>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</si>
  <si>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</si>
  <si>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</si>
  <si>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</si>
  <si>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</si>
  <si>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</si>
  <si>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</si>
  <si>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</si>
  <si>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</si>
  <si>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</si>
  <si>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</si>
  <si>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</si>
  <si>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</si>
  <si>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</si>
  <si>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</si>
  <si>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</si>
  <si>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</si>
  <si>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</si>
  <si>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</si>
  <si>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</si>
  <si>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</si>
  <si>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</si>
  <si>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</si>
  <si>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</si>
  <si>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</si>
  <si>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</si>
  <si>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</si>
  <si>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</si>
  <si>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</si>
  <si>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</si>
  <si>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</si>
  <si>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</si>
  <si>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</si>
  <si>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</si>
  <si>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</si>
  <si>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</si>
  <si>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</si>
  <si>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</si>
  <si>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</si>
  <si>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</si>
  <si>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</si>
  <si>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</si>
  <si>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</si>
  <si>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</si>
  <si>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</si>
  <si>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</si>
  <si>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</si>
  <si>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</si>
  <si>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</si>
  <si>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</si>
  <si>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</si>
  <si>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</si>
  <si>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</si>
  <si>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</si>
  <si>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</si>
  <si>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</si>
  <si>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</si>
  <si>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</si>
  <si>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</si>
  <si>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</si>
  <si>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</si>
  <si>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</si>
  <si>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</si>
  <si>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</si>
  <si>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</si>
  <si>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</si>
  <si>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</si>
  <si>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</si>
  <si>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</si>
  <si>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</si>
  <si>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</si>
  <si>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</si>
  <si>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</si>
  <si>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</si>
  <si>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</si>
  <si>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</si>
  <si>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</si>
  <si>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</si>
  <si>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</si>
  <si>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</si>
  <si>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</si>
  <si>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</si>
  <si>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</si>
  <si>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</si>
  <si>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</si>
  <si>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</si>
  <si>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</si>
  <si>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</si>
  <si>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</si>
  <si>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</si>
  <si>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</si>
  <si>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</si>
  <si>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</si>
  <si>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</si>
  <si>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</si>
  <si>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</si>
  <si>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</si>
  <si>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</si>
  <si>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</si>
  <si>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</si>
  <si>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</si>
  <si>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</si>
  <si>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</si>
  <si>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</si>
  <si>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</si>
  <si>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</si>
  <si>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</si>
  <si>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</si>
  <si>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</si>
  <si>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</si>
  <si>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</si>
  <si>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</si>
  <si>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</si>
  <si>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</si>
  <si>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</si>
  <si>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</si>
  <si>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</si>
  <si>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</si>
  <si>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</si>
  <si>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</si>
  <si>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</si>
  <si>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</si>
  <si>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</si>
  <si>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</si>
  <si>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</si>
  <si>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</si>
  <si>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</si>
  <si>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</si>
  <si>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</si>
  <si>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</si>
  <si>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</si>
  <si>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</si>
  <si>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</si>
  <si>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</si>
  <si>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</si>
  <si>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</si>
  <si>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</si>
  <si>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</si>
  <si>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</si>
  <si>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</si>
  <si>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</si>
  <si>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</si>
  <si>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</si>
  <si>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</si>
  <si>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</si>
  <si>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</si>
  <si>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</si>
  <si>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</si>
  <si>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</si>
  <si>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</si>
  <si>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</si>
  <si>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</si>
  <si>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</si>
  <si>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</si>
  <si>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</si>
  <si>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</si>
  <si>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</si>
  <si>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</si>
  <si>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</si>
  <si>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</si>
  <si>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</si>
  <si>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</si>
  <si>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</si>
  <si>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</si>
  <si>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</si>
  <si>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</si>
  <si>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</si>
  <si>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</si>
  <si>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</si>
  <si>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</si>
  <si>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</si>
  <si>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</si>
  <si>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</si>
  <si>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</si>
  <si>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</si>
  <si>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</si>
  <si>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</si>
  <si>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</si>
  <si>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</si>
  <si>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</si>
  <si>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</si>
  <si>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</si>
  <si>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</si>
  <si>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</si>
  <si>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</si>
  <si>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</si>
  <si>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</si>
  <si>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</si>
  <si>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</si>
  <si>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</si>
  <si>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</si>
  <si>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</si>
  <si>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</si>
  <si>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</si>
  <si>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</si>
  <si>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</si>
  <si>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</si>
  <si>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</si>
  <si>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</si>
  <si>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</si>
  <si>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</si>
  <si>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</si>
  <si>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</si>
  <si>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</si>
  <si>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</si>
  <si>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</si>
  <si>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</si>
  <si>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</si>
  <si>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</si>
  <si>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</si>
  <si>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</si>
  <si>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</si>
  <si>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</si>
  <si>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</si>
  <si>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</si>
  <si>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</si>
  <si>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</si>
  <si>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</si>
  <si>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</si>
  <si>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</si>
  <si>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</si>
  <si>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</si>
  <si>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</si>
  <si>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</si>
  <si>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</si>
  <si>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</si>
  <si>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</si>
  <si>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</si>
  <si>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</si>
  <si>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</si>
  <si>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</si>
  <si>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</si>
  <si>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</si>
  <si>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</si>
  <si>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</si>
  <si>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</si>
  <si>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</si>
  <si>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</si>
  <si>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</si>
  <si>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</si>
  <si>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</si>
  <si>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</si>
  <si>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</si>
  <si>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</si>
  <si>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</si>
  <si>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</si>
  <si>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</si>
  <si>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</si>
  <si>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</si>
  <si>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</si>
  <si>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</si>
  <si>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</si>
  <si>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</si>
  <si>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</si>
  <si>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</si>
  <si>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</si>
  <si>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</si>
  <si>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</si>
  <si>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</si>
  <si>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</si>
  <si>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</si>
  <si>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</si>
  <si>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</si>
  <si>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</si>
  <si>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</si>
  <si>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</si>
  <si>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</si>
  <si>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</si>
  <si>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</si>
  <si>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</si>
  <si>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</si>
  <si>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</si>
  <si>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</si>
  <si>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</si>
  <si>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</si>
  <si>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</si>
  <si>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</si>
  <si>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</si>
  <si>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</si>
  <si>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</si>
  <si>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</si>
  <si>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</si>
  <si>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</si>
  <si>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</si>
  <si>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</si>
  <si>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</si>
  <si>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</si>
  <si>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</si>
  <si>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</si>
  <si>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</si>
  <si>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</si>
  <si>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</si>
  <si>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</si>
  <si>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</si>
  <si>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</si>
  <si>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</si>
  <si>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</si>
  <si>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</si>
  <si>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</si>
  <si>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</si>
  <si>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</si>
  <si>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</si>
  <si>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</si>
  <si>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</si>
  <si>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</si>
  <si>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</si>
  <si>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</si>
  <si>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</si>
  <si>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</si>
  <si>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</si>
  <si>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</si>
  <si>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</si>
  <si>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</si>
  <si>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</si>
  <si>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</si>
  <si>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</si>
  <si>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</si>
  <si>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</si>
  <si>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</si>
  <si>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</si>
  <si>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</si>
  <si>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</si>
  <si>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</si>
  <si>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</si>
  <si>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</si>
  <si>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</si>
  <si>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</si>
  <si>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</si>
  <si>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</si>
  <si>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</si>
  <si>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</si>
  <si>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</si>
  <si>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</si>
  <si>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</si>
  <si>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</si>
  <si>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</si>
  <si>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</si>
  <si>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</si>
  <si>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</si>
  <si>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</si>
  <si>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</si>
  <si>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</si>
  <si>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</si>
  <si>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</si>
  <si>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</si>
  <si>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</si>
  <si>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</si>
  <si>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</si>
  <si>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</si>
  <si>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</si>
  <si>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</si>
  <si>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</si>
  <si>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</si>
  <si>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</si>
  <si>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</si>
  <si>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</si>
  <si>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</si>
  <si>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</si>
  <si>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</si>
  <si>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</si>
  <si>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</si>
  <si>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</si>
  <si>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</si>
  <si>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</si>
  <si>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</si>
  <si>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</si>
  <si>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</si>
  <si>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</si>
  <si>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</si>
  <si>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</si>
  <si>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</si>
  <si>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</si>
  <si>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</si>
  <si>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</si>
  <si>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</si>
  <si>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</si>
  <si>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</si>
  <si>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</si>
  <si>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</si>
  <si>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</si>
  <si>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</si>
  <si>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</si>
  <si>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</si>
  <si>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</si>
  <si>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</si>
  <si>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</si>
  <si>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</si>
  <si>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</si>
  <si>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</si>
  <si>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</si>
  <si>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</si>
  <si>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</si>
  <si>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</si>
  <si>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</si>
  <si>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</si>
  <si>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</si>
  <si>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</si>
  <si>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</si>
  <si>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</si>
  <si>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</si>
  <si>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</si>
  <si>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</si>
  <si>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</si>
  <si>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</si>
  <si>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</si>
  <si>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</si>
  <si>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</si>
  <si>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</si>
  <si>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</si>
  <si>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</si>
  <si>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</si>
  <si>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</si>
  <si>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</si>
  <si>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</si>
  <si>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</si>
  <si>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</si>
  <si>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</si>
  <si>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</si>
  <si>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</si>
  <si>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</si>
  <si>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</si>
  <si>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</si>
  <si>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</si>
  <si>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</si>
  <si>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</si>
  <si>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</si>
  <si>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</si>
  <si>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</si>
  <si>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</si>
  <si>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</si>
  <si>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</si>
  <si>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</si>
  <si>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</si>
  <si>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</si>
  <si>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</si>
  <si>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</si>
  <si>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</si>
  <si>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</si>
  <si>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</si>
  <si>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</si>
  <si>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</si>
  <si>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</si>
  <si>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</si>
  <si>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</si>
  <si>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</si>
  <si>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</si>
  <si>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</si>
  <si>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</si>
  <si>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</si>
  <si>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</si>
  <si>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</si>
  <si>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</si>
  <si>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</si>
  <si>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</si>
  <si>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</si>
  <si>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</si>
  <si>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</si>
  <si>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</si>
  <si>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</si>
  <si>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</si>
  <si>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</si>
  <si>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</si>
  <si>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</si>
  <si>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</si>
  <si>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</si>
  <si>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</si>
  <si>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</si>
  <si>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</si>
  <si>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</si>
  <si>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</si>
  <si>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</si>
  <si>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</si>
  <si>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</si>
  <si>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</si>
  <si>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</si>
  <si>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</si>
  <si>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</si>
  <si>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</si>
  <si>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</si>
  <si>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</si>
  <si>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</si>
  <si>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</si>
  <si>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</si>
  <si>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</si>
  <si>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</si>
  <si>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</si>
  <si>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</si>
  <si>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</si>
  <si>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</si>
  <si>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</si>
  <si>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</si>
  <si>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</si>
  <si>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</si>
  <si>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</si>
  <si>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</si>
  <si>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</si>
  <si>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</si>
  <si>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</si>
  <si>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</si>
  <si>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</si>
  <si>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</si>
  <si>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</si>
  <si>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</si>
  <si>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</si>
  <si>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</si>
  <si>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</si>
  <si>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</si>
  <si>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</si>
  <si>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</si>
  <si>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</si>
  <si>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</si>
  <si>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</si>
  <si>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</si>
  <si>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</si>
  <si>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</si>
  <si>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</si>
  <si>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</si>
  <si>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</si>
  <si>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</si>
  <si>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</si>
  <si>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</si>
  <si>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</si>
  <si>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</si>
  <si>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</si>
  <si>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</si>
  <si>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</si>
  <si>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</si>
  <si>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</si>
  <si>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</si>
  <si>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</si>
  <si>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</si>
  <si>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</si>
  <si>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</si>
  <si>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</si>
  <si>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</si>
  <si>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</si>
  <si>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</si>
  <si>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</si>
  <si>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</si>
  <si>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</si>
  <si>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</si>
  <si>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</si>
  <si>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</si>
  <si>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</si>
  <si>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</si>
  <si>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</si>
  <si>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</si>
  <si>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</si>
  <si>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</si>
  <si>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</si>
  <si>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</si>
  <si>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</si>
  <si>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</si>
  <si>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</si>
  <si>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</si>
  <si>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</si>
  <si>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</si>
  <si>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</si>
  <si>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</si>
  <si>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</si>
  <si>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</si>
  <si>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</si>
  <si>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</si>
  <si>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</si>
  <si>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</si>
  <si>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</si>
  <si>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</si>
  <si>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</si>
  <si>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</si>
  <si>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</si>
  <si>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</si>
  <si>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</si>
  <si>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</si>
  <si>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</si>
  <si>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</si>
  <si>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</si>
  <si>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</si>
  <si>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</si>
  <si>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</si>
  <si>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</si>
  <si>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</si>
  <si>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</si>
  <si>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</si>
  <si>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</si>
  <si>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</si>
  <si>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</si>
  <si>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</si>
  <si>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</si>
  <si>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</si>
  <si>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</si>
  <si>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</si>
  <si>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</si>
  <si>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</si>
  <si>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</si>
  <si>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</si>
  <si>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</si>
  <si>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</si>
  <si>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</si>
  <si>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</si>
  <si>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</si>
  <si>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</si>
  <si>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</si>
  <si>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</si>
  <si>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</si>
  <si>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</si>
  <si>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</si>
  <si>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</si>
  <si>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</si>
  <si>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</si>
  <si>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</si>
  <si>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</si>
  <si>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</si>
  <si>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</si>
  <si>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</si>
  <si>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</si>
  <si>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</si>
  <si>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</si>
  <si>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</si>
  <si>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</si>
  <si>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</si>
  <si>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</si>
  <si>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</si>
  <si>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</si>
  <si>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</si>
  <si>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</si>
  <si>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</si>
  <si>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</si>
  <si>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</si>
  <si>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</si>
  <si>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</si>
  <si>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</si>
  <si>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</si>
  <si>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</si>
  <si>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</si>
  <si>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</si>
  <si>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</si>
  <si>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</si>
  <si>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</si>
  <si>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</si>
  <si>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</si>
  <si>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</si>
  <si>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</si>
  <si>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</si>
  <si>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</si>
  <si>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</si>
  <si>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</si>
  <si>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</si>
  <si>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</si>
  <si>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</si>
  <si>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</si>
  <si>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</si>
  <si>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</si>
  <si>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</si>
  <si>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</si>
  <si>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</si>
  <si>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</si>
  <si>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</si>
  <si>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</si>
  <si>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</si>
  <si>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</si>
  <si>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</si>
  <si>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</si>
  <si>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</si>
  <si>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</si>
  <si>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</si>
  <si>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</si>
  <si>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</si>
  <si>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</si>
  <si>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</si>
  <si>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</si>
  <si>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</si>
  <si>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</si>
  <si>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</si>
  <si>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</si>
  <si>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</si>
  <si>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</si>
  <si>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</si>
  <si>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</si>
  <si>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</si>
  <si>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</si>
  <si>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</si>
  <si>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</si>
  <si>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</si>
  <si>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</si>
  <si>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</si>
  <si>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</si>
  <si>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</si>
  <si>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</si>
  <si>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</si>
  <si>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</si>
  <si>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</si>
  <si>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</si>
  <si>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</si>
  <si>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</si>
  <si>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</si>
  <si>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</si>
  <si>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</si>
  <si>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</si>
  <si>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</si>
  <si>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</si>
  <si>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</si>
  <si>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</si>
  <si>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</si>
  <si>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</si>
  <si>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</si>
  <si>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</si>
  <si>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</si>
  <si>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</si>
  <si>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</si>
  <si>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</si>
  <si>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</si>
  <si>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</si>
  <si>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</si>
  <si>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</si>
  <si>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</si>
  <si>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</si>
  <si>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</si>
  <si>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</si>
  <si>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</si>
  <si>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</si>
  <si>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</si>
  <si>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</si>
  <si>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</si>
  <si>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</si>
  <si>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</si>
  <si>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</si>
  <si>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</si>
  <si>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</si>
  <si>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</si>
  <si>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</si>
  <si>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</si>
  <si>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</si>
  <si>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</si>
  <si>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</si>
  <si>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</si>
  <si>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</si>
  <si>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</si>
  <si>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</si>
  <si>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</si>
  <si>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</si>
  <si>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</si>
  <si>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</si>
  <si>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</si>
  <si>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</si>
  <si>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</si>
  <si>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</si>
  <si>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</si>
  <si>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</si>
  <si>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</si>
  <si>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</si>
  <si>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</si>
  <si>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</si>
  <si>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</si>
  <si>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</si>
  <si>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</si>
  <si>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</si>
  <si>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</si>
  <si>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</si>
  <si>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</si>
  <si>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</si>
  <si>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</si>
  <si>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</si>
  <si>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</si>
  <si>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</si>
  <si>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</si>
  <si>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</si>
  <si>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</si>
  <si>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</si>
  <si>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</si>
  <si>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</si>
  <si>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</si>
  <si>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</si>
  <si>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</si>
  <si>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</si>
  <si>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</si>
  <si>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</si>
  <si>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</si>
  <si>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</si>
  <si>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</si>
  <si>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</si>
  <si>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</si>
  <si>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</si>
  <si>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</si>
  <si>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</si>
  <si>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</si>
  <si>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</si>
  <si>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</si>
  <si>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</si>
  <si>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</si>
  <si>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</si>
  <si>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</si>
  <si>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</si>
  <si>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</si>
  <si>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</si>
  <si>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</si>
  <si>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</si>
  <si>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</si>
  <si>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</si>
  <si>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</si>
  <si>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</si>
  <si>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</si>
  <si>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</si>
  <si>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</si>
  <si>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</si>
  <si>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</si>
  <si>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</si>
  <si>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</si>
  <si>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</si>
  <si>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</si>
  <si>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</si>
  <si>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</si>
  <si>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</si>
  <si>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</si>
  <si>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</si>
  <si>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</si>
  <si>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</si>
  <si>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</si>
  <si>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</si>
  <si>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</si>
  <si>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</si>
  <si>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</si>
  <si>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</si>
  <si>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</si>
  <si>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</si>
  <si>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</si>
  <si>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</si>
  <si>
    <t>C:\Users\cappsdax\OneDrive - Intel Corporation\Documents\FLS\My APP\FLS_Database1.accdb</t>
  </si>
  <si>
    <t>PRINT INSPECTION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</si>
</sst>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8" tint="0.59999389629810485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15" fillId="0" borderId="0" applyNumberFormat="0" applyFill="0" applyBorder="0" applyAlignment="0" applyProtection="0"/>
  </cellStyleXfs>
  <cellXfs count="7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15" fillId="3" borderId="0" xfId="2" applyFill="1" applyBorder="1"/>
    <xf numFmtId="0" fontId="0" fillId="11" borderId="0" xfId="0" applyFill="1"/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1" fontId="16" fillId="11" borderId="0" xfId="0" applyNumberFormat="1" applyFont="1" applyFill="1"/>
  </cellXfs>
  <cellStyles count="3">
    <cellStyle name="Hyperlink" xfId="2" builtinId="8"/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10566"/>
  <ax:ocxPr ax:name="_ExtentY" ax:value="2170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509542401"/>
  <ax:ocxPr ax:name="CurrentDate" ax:value="44713"/>
</ax:ocx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8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9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0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1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2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3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4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5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6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Up Databse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(DB Will Close after it saves)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4</xdr:row>
          <xdr:rowOff>95250</xdr:rowOff>
        </xdr:from>
        <xdr:to>
          <xdr:col>9</xdr:col>
          <xdr:colOff>247650</xdr:colOff>
          <xdr:row>12</xdr:row>
          <xdr:rowOff>95250</xdr:rowOff>
        </xdr:to>
        <xdr:sp macro="" textlink="">
          <xdr:nvSpPr>
            <xdr:cNvPr id="6156" name="cmdButPrint" descr="Print Inspection Report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101600</xdr:colOff>
          <xdr:row>0</xdr:row>
          <xdr:rowOff>104775</xdr:rowOff>
        </xdr:from>
        <xdr:to>
          <xdr:col>1</xdr:col>
          <xdr:colOff>215900</xdr:colOff>
          <xdr:row>0</xdr:row>
          <xdr:rowOff>749300</xdr:rowOff>
        </xdr:to>
        <xdr:sp macro="" textlink="">
          <xdr:nvSpPr>
            <xdr:cNvPr id="6158" name="Label1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95250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57150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57150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57150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57150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8" sqref="I8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ht="20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ht="20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ht="20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ht="20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ht="20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ht="20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ht="20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ht="20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ht="20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ht="20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ht="20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ht="20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ht="20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ht="20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ht="20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A1:Q12"/>
  <sheetViews>
    <sheetView showGridLines="0" topLeftCell="A3" workbookViewId="0">
      <selection activeCell="E30" sqref="E30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1" spans="1:17" x14ac:dyDescent="0.35">
      <c r="A1" s="66" t="s">
        <v>3365</v>
      </c>
    </row>
    <row r="2" spans="1:17" x14ac:dyDescent="0.35">
      <c r="A2" s="72"/>
    </row>
    <row r="4" spans="1:17" x14ac:dyDescent="0.35">
      <c r="P4" s="68" t="s">
        <v>560</v>
      </c>
      <c r="Q4" s="68" t="s">
        <v>3275</v>
      </c>
    </row>
    <row r="5" spans="1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buMacro1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A1:J142"/>
  <sheetViews>
    <sheetView showGridLines="0" showRowColHeaders="0" workbookViewId="0">
      <selection activeCell="N12" sqref="N12"/>
    </sheetView>
  </sheetViews>
  <sheetFormatPr defaultRowHeight="14.5" x14ac:dyDescent="0.35"/>
  <cols>
    <col min="1" max="6" width="9.6328125" style="73" customWidth="1"/>
    <col min="10" max="10" width="11.81640625" bestFit="1" customWidth="1"/>
    <col min="11" max="16384" width="8.7265625" style="73"/>
  </cols>
  <sheetData>
    <row r="1" spans="1:10" ht="94" customHeight="1" x14ac:dyDescent="0.35">
      <c r="A1" s="77">
        <v>0</v>
      </c>
      <c r="G1" s="73"/>
      <c r="H1" s="73"/>
      <c r="I1" s="73"/>
      <c r="J1" s="73"/>
    </row>
    <row r="2" spans="1:10" x14ac:dyDescent="0.35">
      <c r="G2" s="74" t="s">
        <v>3276</v>
      </c>
      <c r="H2" s="74"/>
      <c r="I2" s="74"/>
      <c r="J2" s="74"/>
    </row>
    <row r="3" spans="1:10" x14ac:dyDescent="0.35">
      <c r="G3" s="14"/>
      <c r="H3" s="14"/>
      <c r="I3" s="14"/>
      <c r="J3" s="14"/>
    </row>
    <row r="4" spans="1:10" x14ac:dyDescent="0.35">
      <c r="G4" s="14"/>
      <c r="H4" s="14"/>
      <c r="I4" s="14"/>
      <c r="J4" s="14"/>
    </row>
    <row r="5" spans="1:10" x14ac:dyDescent="0.35">
      <c r="G5" s="14"/>
      <c r="H5" s="14"/>
      <c r="I5" s="14"/>
      <c r="J5" s="14"/>
    </row>
    <row r="6" spans="1:10" x14ac:dyDescent="0.35">
      <c r="G6" s="14"/>
      <c r="H6" s="14"/>
      <c r="I6" s="14"/>
      <c r="J6" s="14"/>
    </row>
    <row r="7" spans="1:10" x14ac:dyDescent="0.35">
      <c r="G7" s="14"/>
      <c r="H7" s="14"/>
      <c r="I7" s="14"/>
      <c r="J7" s="14"/>
    </row>
    <row r="8" spans="1:10" x14ac:dyDescent="0.35">
      <c r="G8" s="14"/>
      <c r="H8" s="14"/>
      <c r="I8" s="14"/>
      <c r="J8" s="14"/>
    </row>
    <row r="9" spans="1:10" x14ac:dyDescent="0.35">
      <c r="G9" s="14"/>
      <c r="H9" s="14"/>
      <c r="I9" s="14"/>
      <c r="J9" s="14"/>
    </row>
    <row r="10" spans="1:10" x14ac:dyDescent="0.35">
      <c r="G10" s="14"/>
      <c r="H10" s="14"/>
      <c r="I10" s="14"/>
      <c r="J10" s="14"/>
    </row>
    <row r="11" spans="1:10" x14ac:dyDescent="0.35">
      <c r="G11" s="14"/>
      <c r="H11" s="14"/>
      <c r="I11" s="14"/>
      <c r="J11" s="14"/>
    </row>
    <row r="12" spans="1:10" x14ac:dyDescent="0.35">
      <c r="G12" s="14"/>
      <c r="H12" s="14"/>
      <c r="I12" s="14"/>
      <c r="J12" s="14"/>
    </row>
    <row r="13" spans="1:10" x14ac:dyDescent="0.35">
      <c r="G13" s="14"/>
      <c r="H13" s="14"/>
      <c r="I13" s="14"/>
      <c r="J13" s="14"/>
    </row>
    <row r="14" spans="1:10" x14ac:dyDescent="0.35">
      <c r="G14" s="14"/>
      <c r="H14" s="14"/>
      <c r="I14" s="14"/>
      <c r="J14" s="14"/>
    </row>
    <row r="15" spans="1:10" x14ac:dyDescent="0.35">
      <c r="G15" s="75" t="s">
        <v>3366</v>
      </c>
      <c r="H15" s="75"/>
      <c r="I15" s="75"/>
      <c r="J15" s="75"/>
    </row>
    <row r="16" spans="1:10" x14ac:dyDescent="0.35">
      <c r="G16" s="14"/>
      <c r="H16" s="14"/>
      <c r="I16" s="14"/>
      <c r="J16" s="14"/>
    </row>
    <row r="17" s="73" customFormat="1" x14ac:dyDescent="0.35"/>
    <row r="18" s="73" customFormat="1" x14ac:dyDescent="0.35"/>
    <row r="19" s="73" customFormat="1" x14ac:dyDescent="0.35"/>
    <row r="20" s="73" customFormat="1" x14ac:dyDescent="0.35"/>
    <row r="21" s="73" customFormat="1" x14ac:dyDescent="0.35"/>
    <row r="22" s="73" customFormat="1" x14ac:dyDescent="0.35"/>
    <row r="23" s="73" customFormat="1" x14ac:dyDescent="0.35"/>
    <row r="24" s="73" customFormat="1" x14ac:dyDescent="0.35"/>
    <row r="25" s="73" customFormat="1" x14ac:dyDescent="0.35"/>
    <row r="26" s="73" customFormat="1" x14ac:dyDescent="0.35"/>
    <row r="27" s="73" customFormat="1" x14ac:dyDescent="0.35"/>
    <row r="28" s="73" customFormat="1" x14ac:dyDescent="0.35"/>
    <row r="29" s="73" customFormat="1" x14ac:dyDescent="0.35"/>
    <row r="30" s="73" customFormat="1" x14ac:dyDescent="0.35"/>
    <row r="31" s="73" customFormat="1" x14ac:dyDescent="0.35"/>
    <row r="32" s="73" customFormat="1" x14ac:dyDescent="0.35"/>
    <row r="33" s="73" customFormat="1" x14ac:dyDescent="0.35"/>
    <row r="34" s="73" customFormat="1" x14ac:dyDescent="0.35"/>
    <row r="35" s="73" customFormat="1" x14ac:dyDescent="0.35"/>
    <row r="36" s="73" customFormat="1" x14ac:dyDescent="0.35"/>
    <row r="37" s="73" customFormat="1" x14ac:dyDescent="0.35"/>
    <row r="38" s="73" customFormat="1" x14ac:dyDescent="0.35"/>
    <row r="39" s="73" customFormat="1" x14ac:dyDescent="0.35"/>
    <row r="40" s="73" customFormat="1" x14ac:dyDescent="0.35"/>
    <row r="41" s="73" customFormat="1" x14ac:dyDescent="0.35"/>
    <row r="42" s="73" customFormat="1" x14ac:dyDescent="0.35"/>
    <row r="43" s="73" customFormat="1" x14ac:dyDescent="0.35"/>
    <row r="44" s="73" customFormat="1" x14ac:dyDescent="0.35"/>
    <row r="45" s="73" customFormat="1" x14ac:dyDescent="0.35"/>
    <row r="46" s="73" customFormat="1" x14ac:dyDescent="0.35"/>
    <row r="47" s="73" customFormat="1" x14ac:dyDescent="0.35"/>
    <row r="48" s="73" customFormat="1" x14ac:dyDescent="0.35"/>
    <row r="49" s="73" customFormat="1" x14ac:dyDescent="0.35"/>
    <row r="50" s="73" customFormat="1" x14ac:dyDescent="0.35"/>
    <row r="51" s="73" customFormat="1" x14ac:dyDescent="0.35"/>
    <row r="52" s="73" customFormat="1" x14ac:dyDescent="0.35"/>
    <row r="53" s="73" customFormat="1" x14ac:dyDescent="0.35"/>
    <row r="54" s="73" customFormat="1" x14ac:dyDescent="0.35"/>
    <row r="55" s="73" customFormat="1" x14ac:dyDescent="0.35"/>
    <row r="56" s="73" customFormat="1" x14ac:dyDescent="0.35"/>
    <row r="57" s="73" customFormat="1" x14ac:dyDescent="0.35"/>
    <row r="58" s="73" customFormat="1" x14ac:dyDescent="0.35"/>
    <row r="59" s="73" customFormat="1" x14ac:dyDescent="0.35"/>
    <row r="60" s="73" customFormat="1" x14ac:dyDescent="0.35"/>
    <row r="61" s="73" customFormat="1" x14ac:dyDescent="0.35"/>
    <row r="62" s="73" customFormat="1" x14ac:dyDescent="0.35"/>
    <row r="63" s="73" customFormat="1" x14ac:dyDescent="0.35"/>
    <row r="64" s="73" customFormat="1" x14ac:dyDescent="0.35"/>
    <row r="65" s="73" customFormat="1" x14ac:dyDescent="0.35"/>
    <row r="66" s="73" customFormat="1" x14ac:dyDescent="0.35"/>
    <row r="67" s="73" customFormat="1" x14ac:dyDescent="0.35"/>
    <row r="68" s="73" customFormat="1" x14ac:dyDescent="0.35"/>
    <row r="69" s="73" customFormat="1" x14ac:dyDescent="0.35"/>
    <row r="70" s="73" customFormat="1" x14ac:dyDescent="0.35"/>
    <row r="71" s="73" customFormat="1" x14ac:dyDescent="0.35"/>
    <row r="72" s="73" customFormat="1" x14ac:dyDescent="0.35"/>
    <row r="73" s="73" customFormat="1" x14ac:dyDescent="0.35"/>
    <row r="74" s="73" customFormat="1" x14ac:dyDescent="0.35"/>
    <row r="75" s="73" customFormat="1" x14ac:dyDescent="0.35"/>
    <row r="76" s="73" customFormat="1" x14ac:dyDescent="0.35"/>
    <row r="77" s="73" customFormat="1" x14ac:dyDescent="0.35"/>
    <row r="78" s="73" customFormat="1" x14ac:dyDescent="0.35"/>
    <row r="79" s="73" customFormat="1" x14ac:dyDescent="0.35"/>
    <row r="80" s="73" customFormat="1" x14ac:dyDescent="0.35"/>
    <row r="81" s="73" customFormat="1" x14ac:dyDescent="0.35"/>
    <row r="82" s="73" customFormat="1" x14ac:dyDescent="0.35"/>
    <row r="83" s="73" customFormat="1" x14ac:dyDescent="0.35"/>
    <row r="84" s="73" customFormat="1" x14ac:dyDescent="0.35"/>
    <row r="85" s="73" customFormat="1" x14ac:dyDescent="0.35"/>
    <row r="86" s="73" customFormat="1" x14ac:dyDescent="0.35"/>
    <row r="87" s="73" customFormat="1" x14ac:dyDescent="0.35"/>
    <row r="88" s="73" customFormat="1" x14ac:dyDescent="0.35"/>
    <row r="89" s="73" customFormat="1" x14ac:dyDescent="0.35"/>
    <row r="90" s="73" customFormat="1" x14ac:dyDescent="0.35"/>
    <row r="91" s="73" customFormat="1" x14ac:dyDescent="0.35"/>
    <row r="92" s="73" customFormat="1" x14ac:dyDescent="0.35"/>
    <row r="93" s="73" customFormat="1" x14ac:dyDescent="0.35"/>
    <row r="94" s="73" customFormat="1" x14ac:dyDescent="0.35"/>
    <row r="95" s="73" customFormat="1" x14ac:dyDescent="0.35"/>
    <row r="96" s="73" customFormat="1" x14ac:dyDescent="0.35"/>
    <row r="97" s="73" customFormat="1" x14ac:dyDescent="0.35"/>
    <row r="98" s="73" customFormat="1" x14ac:dyDescent="0.35"/>
    <row r="99" s="73" customFormat="1" x14ac:dyDescent="0.35"/>
    <row r="100" s="73" customFormat="1" x14ac:dyDescent="0.35"/>
    <row r="101" s="73" customFormat="1" x14ac:dyDescent="0.35"/>
    <row r="102" s="73" customFormat="1" x14ac:dyDescent="0.35"/>
    <row r="103" s="73" customFormat="1" x14ac:dyDescent="0.35"/>
    <row r="104" s="73" customFormat="1" x14ac:dyDescent="0.35"/>
    <row r="105" s="73" customFormat="1" x14ac:dyDescent="0.35"/>
    <row r="106" s="73" customFormat="1" x14ac:dyDescent="0.35"/>
    <row r="107" s="73" customFormat="1" x14ac:dyDescent="0.35"/>
    <row r="108" s="73" customFormat="1" x14ac:dyDescent="0.35"/>
    <row r="109" s="73" customFormat="1" x14ac:dyDescent="0.35"/>
    <row r="110" s="73" customFormat="1" x14ac:dyDescent="0.35"/>
    <row r="111" s="73" customFormat="1" x14ac:dyDescent="0.35"/>
    <row r="112" s="73" customFormat="1" x14ac:dyDescent="0.35"/>
    <row r="113" s="73" customFormat="1" x14ac:dyDescent="0.35"/>
    <row r="114" s="73" customFormat="1" x14ac:dyDescent="0.35"/>
    <row r="115" s="73" customFormat="1" x14ac:dyDescent="0.35"/>
    <row r="116" s="73" customFormat="1" x14ac:dyDescent="0.35"/>
    <row r="117" s="73" customFormat="1" x14ac:dyDescent="0.35"/>
    <row r="118" s="73" customFormat="1" x14ac:dyDescent="0.35"/>
    <row r="119" s="73" customFormat="1" x14ac:dyDescent="0.35"/>
    <row r="120" s="73" customFormat="1" x14ac:dyDescent="0.35"/>
    <row r="121" s="73" customFormat="1" x14ac:dyDescent="0.35"/>
    <row r="122" s="73" customFormat="1" x14ac:dyDescent="0.35"/>
    <row r="123" s="73" customFormat="1" x14ac:dyDescent="0.35"/>
    <row r="124" s="73" customFormat="1" x14ac:dyDescent="0.35"/>
    <row r="125" s="73" customFormat="1" x14ac:dyDescent="0.35"/>
    <row r="126" s="73" customFormat="1" x14ac:dyDescent="0.35"/>
    <row r="127" s="73" customFormat="1" x14ac:dyDescent="0.35"/>
    <row r="128" s="73" customFormat="1" x14ac:dyDescent="0.35"/>
    <row r="129" s="73" customFormat="1" x14ac:dyDescent="0.35"/>
    <row r="130" s="73" customFormat="1" x14ac:dyDescent="0.35"/>
    <row r="131" s="73" customFormat="1" x14ac:dyDescent="0.35"/>
    <row r="132" s="73" customFormat="1" x14ac:dyDescent="0.35"/>
    <row r="133" s="73" customFormat="1" x14ac:dyDescent="0.35"/>
    <row r="134" s="73" customFormat="1" x14ac:dyDescent="0.35"/>
    <row r="135" s="73" customFormat="1" x14ac:dyDescent="0.35"/>
    <row r="136" s="73" customFormat="1" x14ac:dyDescent="0.35"/>
    <row r="137" s="73" customFormat="1" x14ac:dyDescent="0.35"/>
    <row r="138" s="73" customFormat="1" x14ac:dyDescent="0.35"/>
    <row r="139" s="73" customFormat="1" x14ac:dyDescent="0.35"/>
    <row r="140" s="73" customFormat="1" x14ac:dyDescent="0.35"/>
    <row r="141" s="73" customFormat="1" x14ac:dyDescent="0.35"/>
    <row r="142" s="73" customFormat="1" x14ac:dyDescent="0.35"/>
  </sheetData>
  <mergeCells count="2">
    <mergeCell ref="G2:J2"/>
    <mergeCell ref="G15:J1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8" r:id="rId4" name="Label1">
          <controlPr defaultSize="0" autoLine="0" r:id="rId5">
            <anchor moveWithCells="1">
              <from>
                <xdr:col>0</xdr:col>
                <xdr:colOff>101600</xdr:colOff>
                <xdr:row>0</xdr:row>
                <xdr:rowOff>107950</xdr:rowOff>
              </from>
              <to>
                <xdr:col>1</xdr:col>
                <xdr:colOff>222250</xdr:colOff>
                <xdr:row>0</xdr:row>
                <xdr:rowOff>755650</xdr:rowOff>
              </to>
            </anchor>
          </controlPr>
        </control>
      </mc:Choice>
      <mc:Fallback>
        <control shapeId="6158" r:id="rId4" name="Label1"/>
      </mc:Fallback>
    </mc:AlternateContent>
    <mc:AlternateContent xmlns:mc="http://schemas.openxmlformats.org/markup-compatibility/2006">
      <mc:Choice Requires="x14">
        <control shapeId="6156" r:id="rId6" name="cmdButPrint">
          <controlPr defaultSize="0" autoFill="0" autoLine="0" altText="Print Inspection Report" r:id="rId7">
            <anchor moveWithCells="1">
              <from>
                <xdr:col>6</xdr:col>
                <xdr:colOff>514350</xdr:colOff>
                <xdr:row>4</xdr:row>
                <xdr:rowOff>95250</xdr:rowOff>
              </from>
              <to>
                <xdr:col>9</xdr:col>
                <xdr:colOff>247650</xdr:colOff>
                <xdr:row>12</xdr:row>
                <xdr:rowOff>95250</xdr:rowOff>
              </to>
            </anchor>
          </controlPr>
        </control>
      </mc:Choice>
      <mc:Fallback>
        <control shapeId="6156" r:id="rId6" name="cmdButPrin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J20" sqref="J20"/>
    </sheetView>
  </sheetViews>
  <sheetFormatPr defaultRowHeight="14.5" x14ac:dyDescent="0.35"/>
  <cols>
    <col min="1" max="16384" width="8.7265625" style="14"/>
  </cols>
  <sheetData>
    <row r="6" spans="7:15" x14ac:dyDescent="0.35">
      <c r="G6" s="76" t="s">
        <v>3285</v>
      </c>
      <c r="H6" s="76"/>
      <c r="I6" s="76"/>
      <c r="O6" s="54"/>
    </row>
    <row r="7" spans="7:15" x14ac:dyDescent="0.35">
      <c r="G7" s="76"/>
      <c r="H7" s="76"/>
      <c r="I7" s="76"/>
    </row>
    <row r="8" spans="7:15" x14ac:dyDescent="0.35">
      <c r="G8" s="76" t="str" cm="1">
        <f t="array" ref="G8">INDEX(LISTS!E2:E20,TECHupd!J8)</f>
        <v>SC7 Yard</v>
      </c>
      <c r="H8" s="76"/>
      <c r="I8" s="76"/>
      <c r="J8" s="14">
        <v>17</v>
      </c>
      <c r="N8" s="57"/>
    </row>
    <row r="9" spans="7:15" x14ac:dyDescent="0.35">
      <c r="G9" s="76"/>
      <c r="H9" s="76"/>
      <c r="I9" s="76"/>
    </row>
    <row r="10" spans="7:15" x14ac:dyDescent="0.35">
      <c r="G10" s="76" t="str" cm="1">
        <f t="array" ref="G10">INDEX(LISTS!H2:H51,TECHupd!J11)</f>
        <v>Evan Russell</v>
      </c>
      <c r="H10" s="76"/>
      <c r="I10" s="76"/>
    </row>
    <row r="11" spans="7:15" x14ac:dyDescent="0.35">
      <c r="G11" s="76"/>
      <c r="H11" s="76"/>
      <c r="I11" s="76"/>
      <c r="J11" s="14">
        <v>13</v>
      </c>
    </row>
    <row r="12" spans="7:15" x14ac:dyDescent="0.35">
      <c r="G12" s="76" t="str" cm="1">
        <f t="array" ref="G12">INDEX(LISTS!I2:I4,J13)</f>
        <v>Monthly</v>
      </c>
      <c r="H12" s="76"/>
      <c r="I12" s="76"/>
    </row>
    <row r="13" spans="7:15" x14ac:dyDescent="0.35">
      <c r="G13" s="76"/>
      <c r="H13" s="76"/>
      <c r="I13" s="76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J26" sqref="J26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1</v>
      </c>
    </row>
    <row r="9" spans="8:9" x14ac:dyDescent="0.35">
      <c r="H9" s="11" t="s">
        <v>2</v>
      </c>
      <c r="I9" s="12">
        <f>INDEX(Database!$A$2:$A$2665, MATCH('VIEW Record'!$I$7,Database!$A$2:$A$2665,0 ))</f>
        <v>1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SC-FX-0743</v>
      </c>
    </row>
    <row r="11" spans="8:9" x14ac:dyDescent="0.35">
      <c r="H11" s="11" t="s">
        <v>4</v>
      </c>
      <c r="I11" s="12" t="str">
        <f>INDEX(Database!$C$2:$C$2665, MATCH('VIEW Record'!$I$7,Database!$A$2:$A$2665,0 ))</f>
        <v>ABC 18lbs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 t="str">
        <f>INDEX(Database!$E$2:$E$2665, MATCH('VIEW Record'!$I$7,Database!$A$2:$A$2665,0 ))</f>
        <v>Dry Chemical</v>
      </c>
    </row>
    <row r="14" spans="8:9" x14ac:dyDescent="0.35">
      <c r="H14" s="11" t="s">
        <v>7</v>
      </c>
      <c r="I14" s="12" t="str">
        <f>INDEX(Database!$F$2:$F$2665, MATCH('VIEW Record'!$I$7,Database!$A$2:$A$2665,0 ))</f>
        <v>MB-940078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SC-FXL-0743</v>
      </c>
    </row>
    <row r="16" spans="8:9" x14ac:dyDescent="0.35">
      <c r="H16" s="11" t="s">
        <v>9</v>
      </c>
      <c r="I16" s="12" t="str">
        <f>INDEX(Database!$H$2:$H$2665, MATCH('VIEW Record'!$I$7,Database!$A$2:$A$2665,0 ))</f>
        <v>Pole H14</v>
      </c>
    </row>
    <row r="17" spans="8:9" x14ac:dyDescent="0.35">
      <c r="H17" s="11" t="s">
        <v>1</v>
      </c>
      <c r="I17" s="12" t="str">
        <f>INDEX(Database!$I$2:$I$2665, MATCH('VIEW Record'!$I$7,Database!$A$2:$A$2665,0 ))</f>
        <v>D2</v>
      </c>
    </row>
    <row r="18" spans="8:9" x14ac:dyDescent="0.35">
      <c r="H18" s="11" t="s">
        <v>10</v>
      </c>
      <c r="I18" s="12">
        <f>INDEX(Database!$J$2:$J$2665, MATCH('VIEW Record'!$I$7,Database!$A$2:$A$2665,0 ))</f>
        <v>1</v>
      </c>
    </row>
    <row r="19" spans="8:9" x14ac:dyDescent="0.35">
      <c r="H19" s="11" t="s">
        <v>11</v>
      </c>
      <c r="I19" s="12" t="str">
        <f>INDEX(Database!$K$2:$K$2665, MATCH('VIEW Record'!$I$7,Database!$A$2:$A$2665,0 ))</f>
        <v>Subfab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Alonzo Acevedo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 t="str">
        <f>INDEX(Database!$O$2:$O$2665, MATCH('VIEW Record'!$I$7,Database!$A$2:$A$2665,0 ))</f>
        <v>N/A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95250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J26" sqref="J26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1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showRowColHeaders="0" tabSelected="1" topLeftCell="I1" zoomScaleNormal="98" workbookViewId="0">
      <selection activeCell="N25" sqref="N25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180</v>
      </c>
      <c r="M1" s="7" t="s">
        <v>675</v>
      </c>
      <c r="N1" s="7">
        <v>10</v>
      </c>
    </row>
    <row r="2" spans="11:14" ht="16" thickBot="1" x14ac:dyDescent="0.4">
      <c r="K2" s="21" t="s">
        <v>2</v>
      </c>
      <c r="L2" s="17"/>
    </row>
    <row r="3" spans="11:14" ht="16" thickBot="1" x14ac:dyDescent="0.4">
      <c r="K3" s="21" t="s">
        <v>3</v>
      </c>
      <c r="L3" s="18"/>
    </row>
    <row r="4" spans="11:14" ht="16" thickBot="1" x14ac:dyDescent="0.4">
      <c r="K4" s="21" t="s">
        <v>4</v>
      </c>
      <c r="L4" s="70"/>
    </row>
    <row r="5" spans="11:14" ht="16" thickBot="1" x14ac:dyDescent="0.4">
      <c r="K5" s="21" t="s">
        <v>5</v>
      </c>
      <c r="L5" s="18"/>
    </row>
    <row r="6" spans="11:14" ht="16" thickBot="1" x14ac:dyDescent="0.4">
      <c r="K6" s="21" t="s">
        <v>6</v>
      </c>
      <c r="L6" s="18"/>
    </row>
    <row r="7" spans="11:14" ht="16" thickBot="1" x14ac:dyDescent="0.4">
      <c r="K7" s="21" t="s">
        <v>7</v>
      </c>
      <c r="L7" s="18"/>
    </row>
    <row r="8" spans="11:14" ht="16" thickBot="1" x14ac:dyDescent="0.4">
      <c r="K8" s="21" t="s">
        <v>8</v>
      </c>
      <c r="L8" s="18"/>
    </row>
    <row r="9" spans="11:14" ht="16" thickBot="1" x14ac:dyDescent="0.4">
      <c r="K9" s="21" t="s">
        <v>9</v>
      </c>
      <c r="L9" s="18"/>
    </row>
    <row r="10" spans="11:14" ht="16" thickBot="1" x14ac:dyDescent="0.4">
      <c r="K10" s="21" t="s">
        <v>1</v>
      </c>
      <c r="L10" s="18"/>
    </row>
    <row r="11" spans="11:14" ht="16" thickBot="1" x14ac:dyDescent="0.4">
      <c r="K11" s="21" t="s">
        <v>10</v>
      </c>
      <c r="L11" s="18"/>
    </row>
    <row r="12" spans="11:14" ht="16" thickBot="1" x14ac:dyDescent="0.4">
      <c r="K12" s="21" t="s">
        <v>11</v>
      </c>
      <c r="L12" s="18"/>
    </row>
    <row r="13" spans="11:14" ht="16" thickBot="1" x14ac:dyDescent="0.4">
      <c r="K13" s="21" t="s">
        <v>3229</v>
      </c>
      <c r="L13" s="26"/>
      <c r="M13" s="22"/>
    </row>
    <row r="14" spans="11:14" ht="16" thickBot="1" x14ac:dyDescent="0.4">
      <c r="K14" s="21" t="s">
        <v>12</v>
      </c>
      <c r="L14" s="26"/>
    </row>
    <row r="15" spans="11:14" ht="16" thickBot="1" x14ac:dyDescent="0.4">
      <c r="K15" s="8" t="s">
        <v>13</v>
      </c>
      <c r="L15" s="26"/>
    </row>
    <row r="16" spans="11:14" ht="16" thickBot="1" x14ac:dyDescent="0.4">
      <c r="K16" s="8" t="s">
        <v>14</v>
      </c>
      <c r="L16" s="71"/>
    </row>
    <row r="17" spans="11:12" ht="16" thickBot="1" x14ac:dyDescent="0.4">
      <c r="K17" s="8" t="s">
        <v>3272</v>
      </c>
      <c r="L17" s="9"/>
    </row>
  </sheetData>
  <sheetProtection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Save">
          <controlPr locked="0" autoLine="0" r:id="rId5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57150</xdr:rowOff>
              </to>
            </anchor>
          </controlPr>
        </control>
      </mc:Choice>
      <mc:Fallback>
        <control shapeId="5121" r:id="rId4" name="cmdSave"/>
      </mc:Fallback>
    </mc:AlternateContent>
    <mc:AlternateContent xmlns:mc="http://schemas.openxmlformats.org/markup-compatibility/2006">
      <mc:Choice Requires="x14">
        <control shapeId="5122" r:id="rId6" name="cmdModify">
          <controlPr locked="0" autoLine="0" r:id="rId7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57150</xdr:rowOff>
              </to>
            </anchor>
          </controlPr>
        </control>
      </mc:Choice>
      <mc:Fallback>
        <control shapeId="5122" r:id="rId6" name="cmdModify"/>
      </mc:Fallback>
    </mc:AlternateContent>
    <mc:AlternateContent xmlns:mc="http://schemas.openxmlformats.org/markup-compatibility/2006">
      <mc:Choice Requires="x14">
        <control shapeId="5123" r:id="rId8" name="cmdDelete">
          <controlPr locked="0" autoLine="0" r:id="rId9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57150</xdr:rowOff>
              </to>
            </anchor>
          </controlPr>
        </control>
      </mc:Choice>
      <mc:Fallback>
        <control shapeId="5123" r:id="rId8" name="cmdDelete"/>
      </mc:Fallback>
    </mc:AlternateContent>
    <mc:AlternateContent xmlns:mc="http://schemas.openxmlformats.org/markup-compatibility/2006">
      <mc:Choice Requires="x14">
        <control shapeId="5124" r:id="rId10" name="cmdReset">
          <controlPr locked="0" autoLine="0" r:id="rId11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57150</xdr:rowOff>
              </to>
            </anchor>
          </controlPr>
        </control>
      </mc:Choice>
      <mc:Fallback>
        <control shapeId="5124" r:id="rId10" name="cmdRese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823C1098-A954-498D-A4AD-69025E94F683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1d1ff0c9-c556-440e-9e8a-9203f8818bfc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MODIFY</vt:lpstr>
      <vt:lpstr>LISTS</vt:lpstr>
      <vt:lpstr>MyRange</vt:lpstr>
    </vt:vector>
  </TitlesOfParts>
  <Manager/>
  <Company>Amentum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Capps, David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2022-07-01T23:31:09Z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  <property fmtid="{D5CDD505-2E9C-101B-9397-08002B2CF9AE}" pid="3" name="Date completed">
    <vt:lpwstr>01JUl72022</vt:lpwstr>
  </property>
</Properties>
</file>