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15" documentId="8_{138B9AC5-0C7B-4211-AD3E-BC16FC4271FC}" xr6:coauthVersionLast="47" xr6:coauthVersionMax="47" xr10:uidLastSave="{84510B1A-1199-4824-B041-BADCA3225CFC}"/>
  <bookViews>
    <workbookView xWindow="28680" yWindow="-120" windowWidth="20730" windowHeight="11160" tabRatio="738" activeTab="8" xr2:uid="{32A3E539-A096-4DDE-A2C0-E3EA2D40C676}"/>
  </bookViews>
  <sheets>
    <sheet name="Database" sheetId="1" r:id="rId1"/>
    <sheet name="Sheet1" sheetId="12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<sst xmlns="http://schemas.openxmlformats.org/spreadsheetml/2006/main" count="14142" uniqueCount="3365">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</sst>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2"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54946817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916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L4:Q12"/>
  <sheetViews>
    <sheetView showGridLines="0" workbookViewId="0">
      <selection activeCell="D25" sqref="D25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4" spans="14:17" x14ac:dyDescent="0.35">
      <c r="P4" s="68" t="s">
        <v>560</v>
      </c>
      <c r="Q4" s="68" t="s">
        <v>3275</v>
      </c>
    </row>
    <row r="5" spans="14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4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J24" sqref="J24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2" t="s">
        <v>3276</v>
      </c>
      <c r="H2" s="72"/>
      <c r="I2" s="72"/>
      <c r="J2" s="72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ThisWorkbook.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3" t="s">
        <v>3285</v>
      </c>
      <c r="H6" s="73"/>
      <c r="I6" s="73"/>
      <c r="O6" s="54"/>
    </row>
    <row r="7" spans="7:15" x14ac:dyDescent="0.35">
      <c r="G7" s="73"/>
      <c r="H7" s="73"/>
      <c r="I7" s="73"/>
    </row>
    <row r="8" spans="7:15" x14ac:dyDescent="0.35">
      <c r="G8" s="73" t="str" cm="1">
        <f t="array" ref="G8">INDEX(LISTS!E2:E20,TECHupd!J8)</f>
        <v>SC7 Yard</v>
      </c>
      <c r="H8" s="73"/>
      <c r="I8" s="73"/>
      <c r="J8" s="14">
        <v>17</v>
      </c>
      <c r="N8" s="57"/>
    </row>
    <row r="9" spans="7:15" x14ac:dyDescent="0.35">
      <c r="G9" s="73"/>
      <c r="H9" s="73"/>
      <c r="I9" s="73"/>
    </row>
    <row r="10" spans="7:15" x14ac:dyDescent="0.35">
      <c r="G10" s="73" t="str" cm="1">
        <f t="array" ref="G10">INDEX(LISTS!H2:H51,TECHupd!J11)</f>
        <v>Evan Russell</v>
      </c>
      <c r="H10" s="73"/>
      <c r="I10" s="73"/>
    </row>
    <row r="11" spans="7:15" x14ac:dyDescent="0.35">
      <c r="G11" s="73"/>
      <c r="H11" s="73"/>
      <c r="I11" s="73"/>
      <c r="J11" s="14">
        <v>13</v>
      </c>
    </row>
    <row r="12" spans="7:15" x14ac:dyDescent="0.35">
      <c r="G12" s="73" t="str" cm="1">
        <f t="array" ref="G12">INDEX(LISTS!I2:I4,J13)</f>
        <v>Monthly</v>
      </c>
      <c r="H12" s="73"/>
      <c r="I12" s="73"/>
    </row>
    <row r="13" spans="7:15" x14ac:dyDescent="0.35">
      <c r="G13" s="73"/>
      <c r="H13" s="73"/>
      <c r="I13" s="73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K20" sqref="K20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tabSelected="1"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2022-07-01T17:13:16Z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