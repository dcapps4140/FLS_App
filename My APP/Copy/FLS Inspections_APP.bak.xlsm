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"/>
    </mc:Choice>
  </mc:AlternateContent>
  <xr:revisionPtr revIDLastSave="18" documentId="14_{128E06E5-999F-4855-B714-71DE618EE371}" xr6:coauthVersionLast="47" xr6:coauthVersionMax="47" xr10:uidLastSave="{BD24E02A-9033-4D57-9655-00404B4787B6}"/>
  <bookViews>
    <workbookView xWindow="28680" yWindow="-120" windowWidth="20730" windowHeight="11160" tabRatio="738" xr2:uid="{32A3E539-A096-4DDE-A2C0-E3EA2D40C676}"/>
  </bookViews>
  <sheets>
    <sheet name="Database" sheetId="1" r:id="rId1"/>
    <sheet name="Sheet1" sheetId="12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<sst xmlns="http://schemas.openxmlformats.org/spreadsheetml/2006/main" count="14142" uniqueCount="3365">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</sst>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2"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7338"/>
  <ax:ocxPr ax:name="_ExtentY" ax:value="1482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54946817"/>
  <ax:ocxPr ax:name="CurrentDate" ax:value="44713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571500</xdr:colOff>
          <xdr:row>4</xdr:row>
          <xdr:rowOff>107950</xdr:rowOff>
        </xdr:from>
        <xdr:to>
          <xdr:col>9</xdr:col>
          <xdr:colOff>304800</xdr:colOff>
          <xdr:row>12</xdr:row>
          <xdr:rowOff>101600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Inspection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tabSelected="1" zoomScaleNormal="100" workbookViewId="0">
      <pane xSplit="1" ySplit="1" topLeftCell="B916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L4:Q12"/>
  <sheetViews>
    <sheetView showGridLines="0" workbookViewId="0">
      <selection activeCell="D25" sqref="D25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4" spans="14:17" x14ac:dyDescent="0.35">
      <c r="P4" s="68" t="s">
        <v>560</v>
      </c>
      <c r="Q4" s="68" t="s">
        <v>3275</v>
      </c>
    </row>
    <row r="5" spans="14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4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ThisWorkbook.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ThisWorkbook.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J24" sqref="J24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2" t="s">
        <v>3276</v>
      </c>
      <c r="H2" s="72"/>
      <c r="I2" s="72"/>
      <c r="J2" s="72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Button 11">
              <controlPr defaultSize="0" print="0" autoFill="0" autoPict="0" macro="[0]!ThisWorkbook.Print_Report_Example">
                <anchor moveWithCells="1" sizeWithCells="1">
                  <from>
                    <xdr:col>6</xdr:col>
                    <xdr:colOff>571500</xdr:colOff>
                    <xdr:row>4</xdr:row>
                    <xdr:rowOff>107950</xdr:rowOff>
                  </from>
                  <to>
                    <xdr:col>9</xdr:col>
                    <xdr:colOff>304800</xdr:colOff>
                    <xdr:row>12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O18" sqref="O18"/>
    </sheetView>
  </sheetViews>
  <sheetFormatPr defaultRowHeight="14.5" x14ac:dyDescent="0.35"/>
  <cols>
    <col min="1" max="16384" width="8.7265625" style="14"/>
  </cols>
  <sheetData>
    <row r="6" spans="7:15" x14ac:dyDescent="0.35">
      <c r="G6" s="73" t="s">
        <v>3285</v>
      </c>
      <c r="H6" s="73"/>
      <c r="I6" s="73"/>
      <c r="O6" s="54"/>
    </row>
    <row r="7" spans="7:15" x14ac:dyDescent="0.35">
      <c r="G7" s="73"/>
      <c r="H7" s="73"/>
      <c r="I7" s="73"/>
    </row>
    <row r="8" spans="7:15" x14ac:dyDescent="0.35">
      <c r="G8" s="73" t="str" cm="1">
        <f t="array" ref="G8">INDEX(LISTS!E2:E20,TECHupd!J8)</f>
        <v>SC7 Yard</v>
      </c>
      <c r="H8" s="73"/>
      <c r="I8" s="73"/>
      <c r="J8" s="14">
        <v>17</v>
      </c>
      <c r="N8" s="57"/>
    </row>
    <row r="9" spans="7:15" x14ac:dyDescent="0.35">
      <c r="G9" s="73"/>
      <c r="H9" s="73"/>
      <c r="I9" s="73"/>
    </row>
    <row r="10" spans="7:15" x14ac:dyDescent="0.35">
      <c r="G10" s="73" t="str" cm="1">
        <f t="array" ref="G10">INDEX(LISTS!H2:H51,TECHupd!J11)</f>
        <v>Evan Russell</v>
      </c>
      <c r="H10" s="73"/>
      <c r="I10" s="73"/>
    </row>
    <row r="11" spans="7:15" x14ac:dyDescent="0.35">
      <c r="G11" s="73"/>
      <c r="H11" s="73"/>
      <c r="I11" s="73"/>
      <c r="J11" s="14">
        <v>13</v>
      </c>
    </row>
    <row r="12" spans="7:15" x14ac:dyDescent="0.35">
      <c r="G12" s="73" t="str" cm="1">
        <f t="array" ref="G12">INDEX(LISTS!I2:I4,J13)</f>
        <v>Monthly</v>
      </c>
      <c r="H12" s="73"/>
      <c r="I12" s="73"/>
    </row>
    <row r="13" spans="7:15" x14ac:dyDescent="0.35">
      <c r="G13" s="73"/>
      <c r="H13" s="73"/>
      <c r="I13" s="73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K20" sqref="K20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933</v>
      </c>
    </row>
    <row r="9" spans="8:9" x14ac:dyDescent="0.35">
      <c r="H9" s="11" t="s">
        <v>2</v>
      </c>
      <c r="I9" s="12">
        <f>INDEX(Database!$A$2:$A$2665, MATCH('VIEW Record'!$I$7,Database!$A$2:$A$2665,0 ))</f>
        <v>933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SC-FX-2013</v>
      </c>
    </row>
    <row r="11" spans="8:9" x14ac:dyDescent="0.35">
      <c r="H11" s="11" t="s">
        <v>4</v>
      </c>
      <c r="I11" s="12" t="str">
        <f>INDEX(Database!$C$2:$C$2665, MATCH('VIEW Record'!$I$7,Database!$A$2:$A$2665,0 ))</f>
        <v>ABC 18lbs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 t="str">
        <f>INDEX(Database!$E$2:$E$2665, MATCH('VIEW Record'!$I$7,Database!$A$2:$A$2665,0 ))</f>
        <v>Dry Chemical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SC-FXL-2013</v>
      </c>
    </row>
    <row r="16" spans="8:9" x14ac:dyDescent="0.35">
      <c r="H16" s="11" t="s">
        <v>9</v>
      </c>
      <c r="I16" s="12">
        <f>INDEX(Database!$H$2:$H$2665, MATCH('VIEW Record'!$I$7,Database!$A$2:$A$2665,0 ))</f>
        <v>0</v>
      </c>
    </row>
    <row r="17" spans="8:9" x14ac:dyDescent="0.35">
      <c r="H17" s="11" t="s">
        <v>1</v>
      </c>
      <c r="I17" s="12" t="str">
        <f>INDEX(Database!$I$2:$I$2665, MATCH('VIEW Record'!$I$7,Database!$A$2:$A$2665,0 ))</f>
        <v>SC9</v>
      </c>
    </row>
    <row r="18" spans="8:9" x14ac:dyDescent="0.35">
      <c r="H18" s="11" t="s">
        <v>10</v>
      </c>
      <c r="I18" s="12">
        <f>INDEX(Database!$J$2:$J$2665, MATCH('VIEW Record'!$I$7,Database!$A$2:$A$2665,0 ))</f>
        <v>2</v>
      </c>
    </row>
    <row r="19" spans="8:9" x14ac:dyDescent="0.35">
      <c r="H19" s="11" t="s">
        <v>11</v>
      </c>
      <c r="I19" s="12" t="str">
        <f>INDEX(Database!$K$2:$K$2665, MATCH('VIEW Record'!$I$7,Database!$A$2:$A$2665,0 ))</f>
        <v>Office space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Alonzo Acevedo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 t="str">
        <f>INDEX(Database!$O$2:$O$2665, MATCH('VIEW Record'!$I$7,Database!$A$2:$A$2665,0 ))</f>
        <v>N/A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7" sqref="J27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3" sqref="L3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271</v>
      </c>
      <c r="M1" s="7" t="s">
        <v>999</v>
      </c>
      <c r="N1" s="7">
        <v>10</v>
      </c>
    </row>
    <row r="2" spans="11:14" ht="16" thickBot="1" x14ac:dyDescent="0.4">
      <c r="K2" s="21" t="s">
        <v>2</v>
      </c>
      <c r="L2" s="17">
        <v>270</v>
      </c>
    </row>
    <row r="3" spans="11:14" ht="16" thickBot="1" x14ac:dyDescent="0.4">
      <c r="K3" s="21" t="s">
        <v>3</v>
      </c>
      <c r="L3" s="18" t="s">
        <v>999</v>
      </c>
    </row>
    <row r="4" spans="11:14" ht="16" thickBot="1" x14ac:dyDescent="0.4">
      <c r="K4" s="21" t="s">
        <v>4</v>
      </c>
      <c r="L4" s="70" t="s">
        <v>16</v>
      </c>
    </row>
    <row r="5" spans="11:14" ht="16" thickBot="1" x14ac:dyDescent="0.4">
      <c r="K5" s="21" t="s">
        <v>5</v>
      </c>
      <c r="L5" s="18" t="s">
        <v>17</v>
      </c>
    </row>
    <row r="6" spans="11:14" ht="16" thickBot="1" x14ac:dyDescent="0.4">
      <c r="K6" s="21" t="s">
        <v>6</v>
      </c>
      <c r="L6" s="18" t="s">
        <v>18</v>
      </c>
    </row>
    <row r="7" spans="11:14" ht="16" thickBot="1" x14ac:dyDescent="0.4">
      <c r="K7" s="21" t="s">
        <v>7</v>
      </c>
      <c r="L7" s="18" t="s">
        <v>1000</v>
      </c>
    </row>
    <row r="8" spans="11:14" ht="16" thickBot="1" x14ac:dyDescent="0.4">
      <c r="K8" s="21" t="s">
        <v>8</v>
      </c>
      <c r="L8" s="18" t="s">
        <v>1001</v>
      </c>
    </row>
    <row r="9" spans="11:14" ht="16" thickBot="1" x14ac:dyDescent="0.4">
      <c r="K9" s="21" t="s">
        <v>9</v>
      </c>
      <c r="L9" s="18" t="s">
        <v>1002</v>
      </c>
    </row>
    <row r="10" spans="11:14" ht="16" thickBot="1" x14ac:dyDescent="0.4">
      <c r="K10" s="21" t="s">
        <v>1</v>
      </c>
      <c r="L10" s="18" t="s">
        <v>576</v>
      </c>
    </row>
    <row r="11" spans="11:14" ht="16" thickBot="1" x14ac:dyDescent="0.4">
      <c r="K11" s="21" t="s">
        <v>10</v>
      </c>
      <c r="L11" s="18">
        <v>1</v>
      </c>
    </row>
    <row r="12" spans="11:14" ht="16" thickBot="1" x14ac:dyDescent="0.4">
      <c r="K12" s="21" t="s">
        <v>11</v>
      </c>
      <c r="L12" s="18" t="s">
        <v>643</v>
      </c>
    </row>
    <row r="13" spans="11:14" ht="16" thickBot="1" x14ac:dyDescent="0.4">
      <c r="K13" s="21" t="s">
        <v>3229</v>
      </c>
      <c r="L13" s="26" t="s">
        <v>3249</v>
      </c>
      <c r="M13" s="22"/>
    </row>
    <row r="14" spans="11:14" ht="16" thickBot="1" x14ac:dyDescent="0.4">
      <c r="K14" s="21" t="s">
        <v>12</v>
      </c>
      <c r="L14" s="26">
        <v>44713</v>
      </c>
    </row>
    <row r="15" spans="11:14" ht="16" thickBot="1" x14ac:dyDescent="0.4">
      <c r="K15" s="8" t="s">
        <v>13</v>
      </c>
      <c r="L15" s="26" t="s">
        <v>560</v>
      </c>
    </row>
    <row r="16" spans="11:14" ht="16" thickBot="1" x14ac:dyDescent="0.4">
      <c r="K16" s="8" t="s">
        <v>14</v>
      </c>
      <c r="L16" s="71" t="s">
        <v>558</v>
      </c>
    </row>
    <row r="17" spans="11:12" ht="16" thickBot="1" x14ac:dyDescent="0.4">
      <c r="K17" s="8" t="s">
        <v>3272</v>
      </c>
      <c r="L17" s="9" t="s">
        <v>3270</v>
      </c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2022-07-01T16:42:14Z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