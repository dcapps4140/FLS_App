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75B55C8A-1A2E-4C49-BF48-6E8BE77CDF92}" xr6:coauthVersionLast="47" xr6:coauthVersionMax="47" xr10:uidLastSave="{00000000-0000-0000-0000-000000000000}"/>
  <bookViews>
    <workbookView xWindow="28680" yWindow="-120" windowWidth="20730" windowHeight="1116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state="hidden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<sst xmlns="http://schemas.openxmlformats.org/spreadsheetml/2006/main" count="14130" uniqueCount="3366">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</sst>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8819"/>
  <ax:ocxPr ax:name="_ExtentY" ax:value="1799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474808321"/>
  <ax:ocxPr ax:name="CurrentDate" ax:value="44713"/>
</ax:ocx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it's saved)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511175</xdr:colOff>
          <xdr:row>4</xdr:row>
          <xdr:rowOff>92075</xdr:rowOff>
        </xdr:from>
        <xdr:to>
          <xdr:col>9</xdr:col>
          <xdr:colOff>247650</xdr:colOff>
          <xdr:row>12</xdr:row>
          <xdr:rowOff>92075</xdr:rowOff>
        </xdr:to>
        <xdr:sp macro="" textlink="">
          <xdr:nvSpPr>
            <xdr:cNvPr id="6156" name="cmdButPrin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workbookViewId="0">
      <selection activeCell="N20" sqref="N20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H19" sqref="H19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3" t="s">
        <v>3276</v>
      </c>
      <c r="H2" s="73"/>
      <c r="I2" s="73"/>
      <c r="J2" s="73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95250</xdr:rowOff>
              </to>
            </anchor>
          </controlPr>
        </control>
      </mc:Choice>
      <mc:Fallback>
        <control shapeId="6156" r:id="rId4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H20" sqref="H20"/>
    </sheetView>
  </sheetViews>
  <sheetFormatPr defaultRowHeight="14.5" x14ac:dyDescent="0.35"/>
  <cols>
    <col min="1" max="16384" width="8.7265625" style="14"/>
  </cols>
  <sheetData>
    <row r="6" spans="7:15" x14ac:dyDescent="0.35">
      <c r="G6" s="74" t="s">
        <v>3285</v>
      </c>
      <c r="H6" s="74"/>
      <c r="I6" s="74"/>
      <c r="O6" s="54"/>
    </row>
    <row r="7" spans="7:15" x14ac:dyDescent="0.35">
      <c r="G7" s="74"/>
      <c r="H7" s="74"/>
      <c r="I7" s="74"/>
    </row>
    <row r="8" spans="7:15" x14ac:dyDescent="0.35">
      <c r="G8" s="74" t="str" cm="1">
        <f t="array" ref="G8">INDEX(LISTS!E2:E20,TECHupd!J8)</f>
        <v>SC7 Yard</v>
      </c>
      <c r="H8" s="74"/>
      <c r="I8" s="74"/>
      <c r="J8" s="14">
        <v>17</v>
      </c>
      <c r="N8" s="57"/>
    </row>
    <row r="9" spans="7:15" x14ac:dyDescent="0.35">
      <c r="G9" s="74"/>
      <c r="H9" s="74"/>
      <c r="I9" s="74"/>
    </row>
    <row r="10" spans="7:15" x14ac:dyDescent="0.35">
      <c r="G10" s="74" t="str" cm="1">
        <f t="array" ref="G10">INDEX(LISTS!H2:H51,TECHupd!J11)</f>
        <v>Evan Russell</v>
      </c>
      <c r="H10" s="74"/>
      <c r="I10" s="74"/>
    </row>
    <row r="11" spans="7:15" x14ac:dyDescent="0.35">
      <c r="G11" s="74"/>
      <c r="H11" s="74"/>
      <c r="I11" s="74"/>
      <c r="J11" s="14">
        <v>13</v>
      </c>
    </row>
    <row r="12" spans="7:15" x14ac:dyDescent="0.35">
      <c r="G12" s="74" t="str" cm="1">
        <f t="array" ref="G12">INDEX(LISTS!I2:I4,J13)</f>
        <v>Monthly</v>
      </c>
      <c r="H12" s="74"/>
      <c r="I12" s="74"/>
    </row>
    <row r="13" spans="7:15" x14ac:dyDescent="0.35">
      <c r="G13" s="74"/>
      <c r="H13" s="74"/>
      <c r="I13" s="74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I24" sqref="I24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6" sqref="J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2" sqref="L2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179</v>
      </c>
      <c r="M1" s="7" t="s">
        <v>671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2022-07-01T21:57:15Z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